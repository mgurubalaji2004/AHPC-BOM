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<sst xmlns="http://schemas.openxmlformats.org/spreadsheetml/2006/main" count="51" uniqueCount="51">
  <si>
    <t>Ran Server 1</t>
  </si>
  <si>
    <t>Ran Server 2</t>
  </si>
  <si>
    <t>chassis</t>
  </si>
  <si>
    <t>1u chassis</t>
  </si>
  <si>
    <t>Motherboard</t>
  </si>
  <si>
    <t>MZ33-AR1</t>
  </si>
  <si>
    <t>CPU</t>
  </si>
  <si>
    <t>Heatsink</t>
  </si>
  <si>
    <t>Memory</t>
  </si>
  <si>
    <t>64gb</t>
  </si>
  <si>
    <t>SATA SSD</t>
  </si>
  <si>
    <t>NVMe SSD</t>
  </si>
  <si>
    <t>480gb ssd</t>
  </si>
  <si>
    <t>NVME SSD</t>
  </si>
  <si>
    <t>3.84tb ssd</t>
  </si>
  <si>
    <t>HDD</t>
  </si>
  <si>
    <t>Graphics</t>
  </si>
  <si>
    <t>Operating system</t>
  </si>
  <si>
    <t>power supply</t>
  </si>
  <si>
    <t>800W</t>
  </si>
  <si>
    <t>Accessories</t>
  </si>
  <si>
    <t>Cooler</t>
  </si>
  <si>
    <t>Raid Controlller</t>
  </si>
  <si>
    <t>9560-8i</t>
  </si>
  <si>
    <t>Network Card</t>
  </si>
  <si>
    <t xml:space="preserve">25g </t>
  </si>
  <si>
    <t>Monitor</t>
  </si>
  <si>
    <t>keyboard &amp; Mouse</t>
  </si>
  <si>
    <t>Unit price</t>
  </si>
  <si>
    <t>GST</t>
  </si>
  <si>
    <t xml:space="preserve">Total </t>
  </si>
  <si>
    <t>SMO Server</t>
  </si>
  <si>
    <t>core netwroks server</t>
  </si>
  <si>
    <t>MZ73-LM2</t>
  </si>
  <si>
    <t>25g</t>
  </si>
  <si>
    <t>Total</t>
  </si>
  <si>
    <t>IMS Server</t>
  </si>
  <si>
    <t>MS33-AR1</t>
  </si>
  <si>
    <t>AMD 9124</t>
  </si>
  <si>
    <t>1.92TB SSD</t>
  </si>
  <si>
    <t>Near-RT RIC Server</t>
  </si>
  <si>
    <t>MZ73-LM0</t>
  </si>
  <si>
    <t>AMD 9554</t>
  </si>
  <si>
    <t>480GB SSD</t>
  </si>
  <si>
    <t>3.84TB SSD</t>
  </si>
  <si>
    <t>SimulationServer</t>
  </si>
  <si>
    <t>AI Workload server</t>
  </si>
  <si>
    <t>4U chassis</t>
  </si>
  <si>
    <t>barebone</t>
  </si>
  <si>
    <t>960GB SSD</t>
  </si>
  <si>
    <t>NVIDIA RTX PRO 6000 Blackwell 96GB server</t>
  </si>
</sst>
</file>

<file path=xl/styles.xml><?xml version="1.0" encoding="utf-8"?>
<styleSheet xmlns="http://schemas.openxmlformats.org/spreadsheetml/2006/main">
  <numFmts count="2">
    <numFmt formatCode="[&gt;0]_([$₹-en-IN]* #,##0.00_);[&lt;0]_([$₹-en-IN]* (#,##0.00);_([$₹-en-IN]* &quot;-&quot;#??_);_(@_)" numFmtId="164"/>
    <numFmt formatCode="[$₹-en-IN]#,##0.00" numFmtId="165"/>
  </numFmts>
  <fonts count="1"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11">
    <xf borderId="0" fillId="0" fontId="0" numFmtId="0" xfId="0">
      <alignment vertical="top"/>
    </xf>
    <xf borderId="1" fillId="2" fontId="0" numFmtId="0" xfId="0">
      <alignment vertical="top"/>
    </xf>
    <xf borderId="2" fillId="2" fontId="0" numFmtId="0" xfId="0">
      <alignment vertical="top"/>
    </xf>
    <xf borderId="0" fillId="0" fontId="0" numFmtId="164" xfId="0">
      <alignment vertical="top"/>
    </xf>
    <xf borderId="0" fillId="0" fontId="0" numFmtId="9" xfId="0">
      <alignment vertical="top"/>
    </xf>
    <xf borderId="3" fillId="2" fontId="0" numFmtId="0" xfId="0">
      <alignment vertical="top"/>
    </xf>
    <xf borderId="0" fillId="0" fontId="0" numFmtId="0" xfId="0">
      <alignment horizontal="right" vertical="top"/>
    </xf>
    <xf borderId="0" fillId="0" fontId="0" numFmtId="165" xfId="0">
      <alignment horizontal="right" vertical="top"/>
    </xf>
    <xf borderId="0" fillId="0" fontId="0" numFmtId="9" xfId="0">
      <alignment horizontal="right" vertical="top"/>
    </xf>
    <xf borderId="0" fillId="2" fontId="0" numFmtId="0" xfId="0">
      <alignment horizontal="center" vertical="top"/>
    </xf>
    <xf borderId="0" fillId="0" fontId="0" numFmtId="0" xfId="0">
      <alignment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Q148"/>
  <sheetViews>
    <sheetView workbookViewId="0"/>
  </sheetViews>
  <sheetFormatPr defaultRowHeight="14.0" customHeight="1"/>
  <cols>
    <col min="1" max="5" width="13.77"/>
    <col min="6" max="6" width="19.47"/>
    <col min="7" max="2048" width="13.77"/>
  </cols>
  <sheetData>
    <row r="5">
      <c r="F5" s="1"/>
      <c r="G5" s="2" t="s">
        <v>0</v>
      </c>
      <c r="O5" t="s">
        <v>1</v>
      </c>
    </row>
    <row r="7">
      <c r="E7" t="s">
        <v>2</v>
      </c>
      <c r="F7" t="s">
        <v>3</v>
      </c>
      <c r="G7">
        <v>30000.0</v>
      </c>
      <c r="H7">
        <v>1.0</v>
      </c>
      <c r="I7">
        <v>30000.0</v>
      </c>
      <c r="M7" t="s">
        <v>2</v>
      </c>
      <c r="N7" t="s">
        <v>3</v>
      </c>
      <c r="O7">
        <v>30000.0</v>
      </c>
      <c r="P7">
        <v>1.0</v>
      </c>
      <c r="Q7">
        <v>30000.0</v>
      </c>
    </row>
    <row r="8">
      <c r="E8" t="s">
        <v>4</v>
      </c>
      <c r="F8" t="s">
        <v>5</v>
      </c>
      <c r="G8">
        <v>92000.0</v>
      </c>
      <c r="H8">
        <v>1.0</v>
      </c>
      <c r="I8">
        <v>92000.0</v>
      </c>
      <c r="M8" t="s">
        <v>4</v>
      </c>
    </row>
    <row r="9">
      <c r="E9" t="s">
        <v>6</v>
      </c>
      <c r="F9">
        <v>9354.0</v>
      </c>
      <c r="G9">
        <v>190000.0</v>
      </c>
      <c r="H9">
        <v>1.0</v>
      </c>
      <c r="I9">
        <v>190000.0</v>
      </c>
      <c r="M9" t="s">
        <v>6</v>
      </c>
      <c r="N9">
        <v>9354.0</v>
      </c>
      <c r="O9">
        <v>210000.0</v>
      </c>
      <c r="P9">
        <v>1.0</v>
      </c>
      <c r="Q9">
        <v>210000.0</v>
      </c>
    </row>
    <row r="10">
      <c r="E10" t="s">
        <v>7</v>
      </c>
      <c r="G10">
        <v>7500.0</v>
      </c>
      <c r="H10">
        <v>1.0</v>
      </c>
      <c r="I10">
        <v>7500.0</v>
      </c>
      <c r="M10" t="s">
        <v>7</v>
      </c>
      <c r="O10">
        <v>7500.0</v>
      </c>
      <c r="P10">
        <v>1.0</v>
      </c>
      <c r="Q10">
        <v>7500.0</v>
      </c>
    </row>
    <row r="11">
      <c r="E11" t="s">
        <v>8</v>
      </c>
      <c r="F11" t="s">
        <v>9</v>
      </c>
      <c r="G11">
        <v>225000.0</v>
      </c>
      <c r="H11">
        <v>4.0</v>
      </c>
      <c r="I11">
        <v>900000.0</v>
      </c>
      <c r="M11" t="s">
        <v>8</v>
      </c>
      <c r="N11" t="s">
        <v>9</v>
      </c>
      <c r="O11">
        <v>225000.0</v>
      </c>
      <c r="P11">
        <v>4.0</v>
      </c>
      <c r="Q11">
        <v>900000.0</v>
      </c>
    </row>
    <row r="12">
      <c r="E12" t="s">
        <v>10</v>
      </c>
      <c r="M12" t="s">
        <v>10</v>
      </c>
    </row>
    <row r="13">
      <c r="E13" t="s">
        <v>11</v>
      </c>
      <c r="F13" t="s">
        <v>12</v>
      </c>
      <c r="G13">
        <v>65000.0</v>
      </c>
      <c r="H13">
        <v>1.0</v>
      </c>
      <c r="I13">
        <v>130000.0</v>
      </c>
      <c r="M13" t="s">
        <v>11</v>
      </c>
      <c r="N13" t="s">
        <v>12</v>
      </c>
      <c r="O13">
        <v>65000.0</v>
      </c>
      <c r="P13">
        <v>1.0</v>
      </c>
      <c r="Q13">
        <v>130000.0</v>
      </c>
    </row>
    <row r="14">
      <c r="E14" t="s">
        <v>13</v>
      </c>
      <c r="F14" t="s">
        <v>14</v>
      </c>
      <c r="G14">
        <v>275000.0</v>
      </c>
      <c r="H14">
        <v>4.0</v>
      </c>
      <c r="I14">
        <v>1100000.0</v>
      </c>
      <c r="M14" t="s">
        <v>13</v>
      </c>
      <c r="N14" t="s">
        <v>14</v>
      </c>
      <c r="O14">
        <v>275000.0</v>
      </c>
      <c r="P14">
        <v>4.0</v>
      </c>
      <c r="Q14">
        <v>1100000.0</v>
      </c>
    </row>
    <row r="15">
      <c r="E15" t="s">
        <v>15</v>
      </c>
      <c r="M15" t="s">
        <v>15</v>
      </c>
    </row>
    <row r="16">
      <c r="E16" t="s">
        <v>16</v>
      </c>
      <c r="M16" t="s">
        <v>16</v>
      </c>
    </row>
    <row r="17">
      <c r="E17" t="s">
        <v>17</v>
      </c>
      <c r="M17" t="s">
        <v>17</v>
      </c>
    </row>
    <row r="18">
      <c r="E18" t="s">
        <v>18</v>
      </c>
      <c r="F18" t="s">
        <v>19</v>
      </c>
      <c r="G18">
        <v>45000.0</v>
      </c>
      <c r="H18">
        <v>1.0</v>
      </c>
      <c r="I18">
        <v>45000.0</v>
      </c>
      <c r="M18" t="s">
        <v>18</v>
      </c>
      <c r="N18" t="s">
        <v>19</v>
      </c>
      <c r="O18">
        <v>45000.0</v>
      </c>
      <c r="P18">
        <v>1.0</v>
      </c>
      <c r="Q18">
        <v>45000.0</v>
      </c>
    </row>
    <row r="19">
      <c r="E19" t="s">
        <v>20</v>
      </c>
      <c r="M19" t="s">
        <v>20</v>
      </c>
    </row>
    <row r="20">
      <c r="E20" t="s">
        <v>21</v>
      </c>
      <c r="M20" t="s">
        <v>21</v>
      </c>
    </row>
    <row r="21">
      <c r="E21" t="s">
        <v>22</v>
      </c>
      <c r="F21" t="s">
        <v>23</v>
      </c>
      <c r="G21">
        <v>110000.0</v>
      </c>
      <c r="H21">
        <v>1.0</v>
      </c>
      <c r="I21">
        <v>110000.0</v>
      </c>
      <c r="M21" t="s">
        <v>22</v>
      </c>
      <c r="N21" t="s">
        <v>23</v>
      </c>
      <c r="O21">
        <v>110000.0</v>
      </c>
      <c r="P21">
        <v>1.0</v>
      </c>
      <c r="Q21">
        <v>110000.0</v>
      </c>
    </row>
    <row r="22">
      <c r="E22" t="s">
        <v>24</v>
      </c>
      <c r="F22" t="s">
        <v>25</v>
      </c>
      <c r="G22">
        <v>26000.0</v>
      </c>
      <c r="H22">
        <v>1.0</v>
      </c>
      <c r="I22">
        <v>26000.0</v>
      </c>
      <c r="M22" t="s">
        <v>24</v>
      </c>
    </row>
    <row r="23">
      <c r="E23" t="s">
        <v>26</v>
      </c>
      <c r="I23" s="3">
        <f>SUM(I7:I22)</f>
        <v>2630500.0</v>
      </c>
      <c r="M23" t="s">
        <v>26</v>
      </c>
    </row>
    <row r="24">
      <c r="E24" t="s">
        <v>27</v>
      </c>
      <c r="H24" s="4">
        <v>0.15</v>
      </c>
      <c r="I24" s="3">
        <f>I23*15%</f>
        <v>394575.0</v>
      </c>
      <c r="M24" t="s">
        <v>27</v>
      </c>
    </row>
    <row r="25">
      <c r="H25" t="s">
        <v>28</v>
      </c>
      <c r="I25" s="3">
        <f>SUM(I23:I24)</f>
        <v>3025075.0</v>
      </c>
    </row>
    <row r="26">
      <c r="H26" t="s">
        <v>29</v>
      </c>
      <c r="I26" s="3">
        <f>I25*18%</f>
        <v>544513.5</v>
      </c>
    </row>
    <row r="27">
      <c r="H27" t="s">
        <v>30</v>
      </c>
      <c r="I27" s="3">
        <f>SUM(I25:I26)</f>
        <v>3569588.5</v>
      </c>
    </row>
    <row r="32">
      <c r="F32" s="1" t="s">
        <v>31</v>
      </c>
      <c r="G32" s="5" t="s">
        <v>32</v>
      </c>
      <c r="H32" s="2"/>
    </row>
    <row r="34">
      <c r="E34" t="s">
        <v>2</v>
      </c>
      <c r="F34" t="s">
        <v>3</v>
      </c>
      <c r="G34">
        <v>30000.0</v>
      </c>
      <c r="H34">
        <v>1.0</v>
      </c>
      <c r="I34">
        <v>30000.0</v>
      </c>
    </row>
    <row r="35">
      <c r="E35" t="s">
        <v>4</v>
      </c>
      <c r="F35" t="s">
        <v>33</v>
      </c>
      <c r="G35">
        <v>150000.0</v>
      </c>
      <c r="H35">
        <v>1.0</v>
      </c>
      <c r="I35">
        <v>150000.0</v>
      </c>
    </row>
    <row r="36">
      <c r="E36" t="s">
        <v>6</v>
      </c>
      <c r="F36">
        <v>9554.0</v>
      </c>
      <c r="G36">
        <v>210000.0</v>
      </c>
      <c r="H36">
        <v>2.0</v>
      </c>
      <c r="I36">
        <f>G36*2</f>
        <v>420000.0</v>
      </c>
    </row>
    <row r="37">
      <c r="E37" t="s">
        <v>7</v>
      </c>
      <c r="G37">
        <v>7500.0</v>
      </c>
      <c r="H37">
        <v>2.0</v>
      </c>
      <c r="I37">
        <v>15000.0</v>
      </c>
    </row>
    <row r="38">
      <c r="E38" t="s">
        <v>8</v>
      </c>
      <c r="F38" t="s">
        <v>9</v>
      </c>
      <c r="G38">
        <v>225000.0</v>
      </c>
      <c r="H38">
        <v>4.0</v>
      </c>
      <c r="I38">
        <v>900000.0</v>
      </c>
    </row>
    <row r="39">
      <c r="E39" t="s">
        <v>10</v>
      </c>
    </row>
    <row r="40">
      <c r="E40" t="s">
        <v>11</v>
      </c>
      <c r="F40" t="s">
        <v>12</v>
      </c>
      <c r="G40">
        <v>65000.0</v>
      </c>
      <c r="H40">
        <v>1.0</v>
      </c>
      <c r="I40">
        <v>130000.0</v>
      </c>
    </row>
    <row r="41">
      <c r="E41" t="s">
        <v>13</v>
      </c>
      <c r="F41" t="s">
        <v>14</v>
      </c>
      <c r="G41">
        <v>275000.0</v>
      </c>
      <c r="H41">
        <v>4.0</v>
      </c>
      <c r="I41">
        <v>1100000.0</v>
      </c>
    </row>
    <row r="42">
      <c r="E42" t="s">
        <v>15</v>
      </c>
    </row>
    <row r="43">
      <c r="E43" t="s">
        <v>16</v>
      </c>
    </row>
    <row r="44">
      <c r="E44" t="s">
        <v>17</v>
      </c>
    </row>
    <row r="45">
      <c r="E45" t="s">
        <v>18</v>
      </c>
      <c r="F45" t="s">
        <v>19</v>
      </c>
      <c r="G45">
        <v>45000.0</v>
      </c>
      <c r="H45">
        <v>1.0</v>
      </c>
      <c r="I45">
        <v>45000.0</v>
      </c>
    </row>
    <row r="46">
      <c r="E46" t="s">
        <v>20</v>
      </c>
    </row>
    <row r="47">
      <c r="E47" t="s">
        <v>21</v>
      </c>
    </row>
    <row r="48">
      <c r="E48" t="s">
        <v>22</v>
      </c>
      <c r="F48" t="s">
        <v>23</v>
      </c>
      <c r="G48">
        <v>110000.0</v>
      </c>
      <c r="H48">
        <v>1.0</v>
      </c>
      <c r="I48">
        <v>110000.0</v>
      </c>
    </row>
    <row r="49">
      <c r="E49" t="s">
        <v>24</v>
      </c>
      <c r="F49" t="s">
        <v>34</v>
      </c>
      <c r="G49" s="6">
        <v>26000.0</v>
      </c>
      <c r="H49" s="6">
        <v>1.0</v>
      </c>
      <c r="I49" s="6">
        <v>26000.0</v>
      </c>
    </row>
    <row r="50">
      <c r="E50" t="s">
        <v>26</v>
      </c>
      <c r="I50" s="7">
        <f>SUM(I34:I49)</f>
        <v>2926000.0</v>
      </c>
    </row>
    <row r="51">
      <c r="E51" t="s">
        <v>27</v>
      </c>
      <c r="H51" s="8">
        <v>0.15</v>
      </c>
      <c r="I51" s="7">
        <f>I50*15%</f>
        <v>438900.0</v>
      </c>
    </row>
    <row r="52">
      <c r="H52" t="s">
        <v>28</v>
      </c>
      <c r="I52" s="7">
        <f>SUM(I50:I51)</f>
        <v>3364900.0</v>
      </c>
    </row>
    <row r="53">
      <c r="H53" t="s">
        <v>29</v>
      </c>
      <c r="I53" s="7">
        <f>I52*18%</f>
        <v>605682.0</v>
      </c>
    </row>
    <row r="54">
      <c r="H54" t="s">
        <v>35</v>
      </c>
      <c r="I54" s="7">
        <f>SUM(I52:I53)</f>
        <v>3970582.0</v>
      </c>
    </row>
    <row r="56">
      <c r="F56" s="9" t="s">
        <v>36</v>
      </c>
    </row>
    <row r="57">
      <c r="E57" t="s">
        <v>2</v>
      </c>
      <c r="F57" t="s">
        <v>3</v>
      </c>
      <c r="G57">
        <v>40000.0</v>
      </c>
      <c r="H57">
        <v>1.0</v>
      </c>
      <c r="I57">
        <v>40000.0</v>
      </c>
    </row>
    <row r="58">
      <c r="E58" t="s">
        <v>4</v>
      </c>
      <c r="F58" t="s">
        <v>37</v>
      </c>
      <c r="G58">
        <v>95000.0</v>
      </c>
      <c r="H58">
        <v>1.0</v>
      </c>
      <c r="I58">
        <v>95000.0</v>
      </c>
    </row>
    <row r="59">
      <c r="E59" t="s">
        <v>6</v>
      </c>
      <c r="F59" t="s">
        <v>38</v>
      </c>
      <c r="G59">
        <v>65000.0</v>
      </c>
      <c r="H59">
        <v>1.0</v>
      </c>
      <c r="I59">
        <v>65000.0</v>
      </c>
    </row>
    <row r="60">
      <c r="E60" t="s">
        <v>7</v>
      </c>
      <c r="G60">
        <v>7500.0</v>
      </c>
      <c r="H60">
        <v>1.0</v>
      </c>
      <c r="I60">
        <v>7500.0</v>
      </c>
    </row>
    <row r="61">
      <c r="E61" t="s">
        <v>8</v>
      </c>
      <c r="F61" t="s">
        <v>9</v>
      </c>
      <c r="G61">
        <v>225000.0</v>
      </c>
      <c r="H61">
        <v>2.0</v>
      </c>
      <c r="I61">
        <f>G61*2</f>
        <v>450000.0</v>
      </c>
    </row>
    <row r="62">
      <c r="E62" t="s">
        <v>10</v>
      </c>
    </row>
    <row r="63">
      <c r="E63" t="s">
        <v>11</v>
      </c>
      <c r="F63" t="s">
        <v>39</v>
      </c>
      <c r="G63">
        <v>181000.0</v>
      </c>
      <c r="H63">
        <v>2.0</v>
      </c>
      <c r="I63">
        <f>G63*2</f>
        <v>362000.0</v>
      </c>
    </row>
    <row r="64">
      <c r="E64" t="s">
        <v>13</v>
      </c>
    </row>
    <row r="65">
      <c r="E65" t="s">
        <v>15</v>
      </c>
    </row>
    <row r="66">
      <c r="E66" t="s">
        <v>16</v>
      </c>
    </row>
    <row r="67">
      <c r="E67" t="s">
        <v>17</v>
      </c>
    </row>
    <row r="68">
      <c r="E68" t="s">
        <v>18</v>
      </c>
      <c r="F68" t="s">
        <v>19</v>
      </c>
      <c r="G68">
        <v>45000.0</v>
      </c>
      <c r="H68">
        <v>1.0</v>
      </c>
      <c r="I68">
        <v>45000.0</v>
      </c>
    </row>
    <row r="69">
      <c r="E69" t="s">
        <v>20</v>
      </c>
    </row>
    <row r="70">
      <c r="E70" t="s">
        <v>21</v>
      </c>
    </row>
    <row r="71">
      <c r="E71" t="s">
        <v>22</v>
      </c>
      <c r="F71" t="s">
        <v>23</v>
      </c>
      <c r="G71">
        <v>110000.0</v>
      </c>
      <c r="H71">
        <v>1.0</v>
      </c>
      <c r="I71">
        <v>110000.0</v>
      </c>
    </row>
    <row r="72">
      <c r="E72" t="s">
        <v>24</v>
      </c>
      <c r="F72" t="s">
        <v>34</v>
      </c>
      <c r="G72" s="6">
        <v>26000.0</v>
      </c>
      <c r="H72" s="6">
        <v>1.0</v>
      </c>
      <c r="I72" s="6">
        <v>26000.0</v>
      </c>
    </row>
    <row r="73">
      <c r="E73" t="s">
        <v>26</v>
      </c>
      <c r="I73" s="7">
        <f>SUM(I57:I72)</f>
        <v>1200500.0</v>
      </c>
    </row>
    <row r="74">
      <c r="E74" t="s">
        <v>27</v>
      </c>
      <c r="H74" s="8">
        <v>0.15</v>
      </c>
      <c r="I74" s="7">
        <f>I73*15%</f>
        <v>180075.0</v>
      </c>
    </row>
    <row r="75">
      <c r="H75" t="s">
        <v>28</v>
      </c>
      <c r="I75" s="7">
        <f>SUM(I73:I74)</f>
        <v>1380575.0</v>
      </c>
    </row>
    <row r="76">
      <c r="H76" t="s">
        <v>29</v>
      </c>
      <c r="I76" s="7">
        <f>I75*18%</f>
        <v>248503.5</v>
      </c>
    </row>
    <row r="77">
      <c r="H77" t="s">
        <v>35</v>
      </c>
      <c r="I77" s="7">
        <f>SUM(I75:I76)</f>
        <v>1629078.5</v>
      </c>
    </row>
    <row r="80">
      <c r="F80" s="9" t="s">
        <v>40</v>
      </c>
    </row>
    <row r="81">
      <c r="E81" t="s">
        <v>2</v>
      </c>
      <c r="F81" t="s">
        <v>3</v>
      </c>
      <c r="G81">
        <v>40000.0</v>
      </c>
      <c r="H81">
        <v>1.0</v>
      </c>
      <c r="I81">
        <v>40000.0</v>
      </c>
    </row>
    <row r="82">
      <c r="E82" t="s">
        <v>4</v>
      </c>
      <c r="F82" t="s">
        <v>41</v>
      </c>
      <c r="G82">
        <v>150000.0</v>
      </c>
      <c r="H82">
        <v>1.0</v>
      </c>
      <c r="I82">
        <v>150000.0</v>
      </c>
    </row>
    <row r="83">
      <c r="E83" t="s">
        <v>6</v>
      </c>
      <c r="F83" t="s">
        <v>42</v>
      </c>
      <c r="G83">
        <v>210000.0</v>
      </c>
      <c r="H83">
        <v>2.0</v>
      </c>
      <c r="I83">
        <v>420000.0</v>
      </c>
    </row>
    <row r="84">
      <c r="E84" t="s">
        <v>7</v>
      </c>
      <c r="G84">
        <v>7500.0</v>
      </c>
      <c r="H84">
        <v>2.0</v>
      </c>
      <c r="I84">
        <v>15000.0</v>
      </c>
    </row>
    <row r="85">
      <c r="E85" t="s">
        <v>8</v>
      </c>
      <c r="F85" t="s">
        <v>9</v>
      </c>
      <c r="G85">
        <v>225000.0</v>
      </c>
      <c r="H85">
        <v>4.0</v>
      </c>
      <c r="I85">
        <f>G85*4</f>
        <v>900000.0</v>
      </c>
    </row>
    <row r="86">
      <c r="E86" t="s">
        <v>10</v>
      </c>
    </row>
    <row r="87">
      <c r="E87" t="s">
        <v>11</v>
      </c>
      <c r="F87" t="s">
        <v>43</v>
      </c>
      <c r="G87">
        <v>65000.0</v>
      </c>
      <c r="H87">
        <v>2.0</v>
      </c>
      <c r="I87">
        <f>G87*2</f>
        <v>130000.0</v>
      </c>
    </row>
    <row r="88">
      <c r="E88" t="s">
        <v>13</v>
      </c>
      <c r="F88" t="s">
        <v>44</v>
      </c>
      <c r="G88">
        <v>275000.0</v>
      </c>
      <c r="H88">
        <v>4.0</v>
      </c>
      <c r="I88">
        <f>G88*4</f>
        <v>1100000.0</v>
      </c>
    </row>
    <row r="89">
      <c r="E89" t="s">
        <v>15</v>
      </c>
    </row>
    <row r="90">
      <c r="E90" t="s">
        <v>16</v>
      </c>
    </row>
    <row r="91">
      <c r="E91" t="s">
        <v>17</v>
      </c>
    </row>
    <row r="92">
      <c r="E92" t="s">
        <v>18</v>
      </c>
      <c r="F92" t="s">
        <v>19</v>
      </c>
      <c r="G92">
        <v>45000.0</v>
      </c>
      <c r="H92">
        <v>1.0</v>
      </c>
      <c r="I92">
        <v>45000.0</v>
      </c>
    </row>
    <row r="93">
      <c r="E93" t="s">
        <v>20</v>
      </c>
    </row>
    <row r="94">
      <c r="E94" t="s">
        <v>21</v>
      </c>
    </row>
    <row r="95">
      <c r="E95" t="s">
        <v>22</v>
      </c>
      <c r="F95" t="s">
        <v>23</v>
      </c>
      <c r="G95">
        <v>110000.0</v>
      </c>
      <c r="H95">
        <v>1.0</v>
      </c>
      <c r="I95">
        <v>110000.0</v>
      </c>
    </row>
    <row r="96">
      <c r="E96" t="s">
        <v>24</v>
      </c>
      <c r="F96" t="s">
        <v>34</v>
      </c>
      <c r="G96" s="6">
        <v>26000.0</v>
      </c>
      <c r="H96" s="6">
        <v>1.0</v>
      </c>
      <c r="I96" s="6">
        <v>26000.0</v>
      </c>
    </row>
    <row r="97">
      <c r="E97" t="s">
        <v>26</v>
      </c>
      <c r="I97" s="7">
        <f>SUM(I81:I96)</f>
        <v>2936000.0</v>
      </c>
    </row>
    <row r="98">
      <c r="E98" t="s">
        <v>27</v>
      </c>
      <c r="H98" s="8">
        <v>0.15</v>
      </c>
      <c r="I98" s="7">
        <f>I97*15%</f>
        <v>440400.0</v>
      </c>
    </row>
    <row r="99">
      <c r="H99" t="s">
        <v>28</v>
      </c>
      <c r="I99" s="7">
        <f>SUM(I97:I98)</f>
        <v>3376400.0</v>
      </c>
    </row>
    <row r="100">
      <c r="H100" t="s">
        <v>29</v>
      </c>
      <c r="I100" s="7">
        <f>I99*18%</f>
        <v>607752.0</v>
      </c>
    </row>
    <row r="101">
      <c r="H101" t="s">
        <v>35</v>
      </c>
      <c r="I101" s="7">
        <f>SUM(I99:I100)</f>
        <v>3984152.0</v>
      </c>
    </row>
    <row r="103">
      <c r="F103" s="9" t="s">
        <v>45</v>
      </c>
    </row>
    <row r="104">
      <c r="E104" t="s">
        <v>2</v>
      </c>
      <c r="F104" t="s">
        <v>3</v>
      </c>
      <c r="G104">
        <v>40000.0</v>
      </c>
      <c r="H104">
        <v>1.0</v>
      </c>
      <c r="I104">
        <v>40000.0</v>
      </c>
    </row>
    <row r="105">
      <c r="E105" t="s">
        <v>4</v>
      </c>
      <c r="F105" t="s">
        <v>41</v>
      </c>
      <c r="G105">
        <v>150000.0</v>
      </c>
      <c r="H105">
        <v>1.0</v>
      </c>
      <c r="I105">
        <v>150000.0</v>
      </c>
    </row>
    <row r="106">
      <c r="E106" t="s">
        <v>6</v>
      </c>
      <c r="F106" t="s">
        <v>42</v>
      </c>
      <c r="G106">
        <v>210000.0</v>
      </c>
      <c r="H106">
        <v>2.0</v>
      </c>
      <c r="I106">
        <v>420000.0</v>
      </c>
    </row>
    <row r="107">
      <c r="E107" t="s">
        <v>7</v>
      </c>
      <c r="G107">
        <v>7500.0</v>
      </c>
      <c r="H107">
        <v>2.0</v>
      </c>
      <c r="I107">
        <v>15000.0</v>
      </c>
    </row>
    <row r="108">
      <c r="E108" t="s">
        <v>8</v>
      </c>
      <c r="F108" t="s">
        <v>9</v>
      </c>
      <c r="G108">
        <v>225000.0</v>
      </c>
      <c r="H108">
        <v>4.0</v>
      </c>
      <c r="I108">
        <f>G108*4</f>
        <v>900000.0</v>
      </c>
    </row>
    <row r="109">
      <c r="E109" t="s">
        <v>10</v>
      </c>
    </row>
    <row r="110">
      <c r="E110" t="s">
        <v>11</v>
      </c>
      <c r="F110" t="s">
        <v>43</v>
      </c>
      <c r="G110">
        <v>65000.0</v>
      </c>
      <c r="H110">
        <v>2.0</v>
      </c>
      <c r="I110">
        <f>G110*2</f>
        <v>130000.0</v>
      </c>
    </row>
    <row r="111">
      <c r="E111" t="s">
        <v>13</v>
      </c>
      <c r="F111" t="s">
        <v>44</v>
      </c>
      <c r="G111">
        <v>275000.0</v>
      </c>
      <c r="H111">
        <v>3.0</v>
      </c>
      <c r="I111">
        <f>G111*3</f>
        <v>825000.0</v>
      </c>
    </row>
    <row r="112">
      <c r="E112" t="s">
        <v>15</v>
      </c>
    </row>
    <row r="113">
      <c r="E113" t="s">
        <v>16</v>
      </c>
    </row>
    <row r="114">
      <c r="E114" t="s">
        <v>17</v>
      </c>
    </row>
    <row r="115">
      <c r="E115" t="s">
        <v>18</v>
      </c>
      <c r="F115" t="s">
        <v>19</v>
      </c>
      <c r="G115">
        <v>45000.0</v>
      </c>
      <c r="H115">
        <v>1.0</v>
      </c>
      <c r="I115">
        <v>45000.0</v>
      </c>
    </row>
    <row r="116">
      <c r="E116" t="s">
        <v>20</v>
      </c>
    </row>
    <row r="117">
      <c r="E117" t="s">
        <v>21</v>
      </c>
    </row>
    <row r="118">
      <c r="E118" t="s">
        <v>22</v>
      </c>
      <c r="F118" t="s">
        <v>23</v>
      </c>
      <c r="G118">
        <v>110000.0</v>
      </c>
      <c r="H118">
        <v>1.0</v>
      </c>
      <c r="I118">
        <v>110000.0</v>
      </c>
    </row>
    <row r="119">
      <c r="E119" t="s">
        <v>24</v>
      </c>
      <c r="F119" t="s">
        <v>34</v>
      </c>
      <c r="G119" s="6">
        <v>26000.0</v>
      </c>
      <c r="H119" s="6">
        <v>1.0</v>
      </c>
      <c r="I119" s="6">
        <v>26000.0</v>
      </c>
    </row>
    <row r="120">
      <c r="E120" t="s">
        <v>26</v>
      </c>
      <c r="I120" s="7">
        <f>SUM(I104:I119)</f>
        <v>2661000.0</v>
      </c>
    </row>
    <row r="121">
      <c r="E121" t="s">
        <v>27</v>
      </c>
      <c r="H121" s="8">
        <v>0.15</v>
      </c>
      <c r="I121" s="7">
        <f>I120*15%</f>
        <v>399150.0</v>
      </c>
    </row>
    <row r="122">
      <c r="H122" t="s">
        <v>28</v>
      </c>
      <c r="I122" s="7">
        <f>SUM(I120:I121)</f>
        <v>3060150.0</v>
      </c>
    </row>
    <row r="123">
      <c r="H123" t="s">
        <v>29</v>
      </c>
      <c r="I123" s="7">
        <f>I122*18%</f>
        <v>550827.0</v>
      </c>
    </row>
    <row r="124">
      <c r="H124" t="s">
        <v>35</v>
      </c>
      <c r="I124" s="7">
        <f>SUM(I122:I123)</f>
        <v>3610977.0</v>
      </c>
    </row>
    <row r="127">
      <c r="F127" s="9" t="s">
        <v>46</v>
      </c>
    </row>
    <row r="128">
      <c r="E128" t="s">
        <v>2</v>
      </c>
      <c r="F128" t="s">
        <v>47</v>
      </c>
      <c r="G128">
        <v>1100000.0</v>
      </c>
      <c r="H128">
        <v>1.0</v>
      </c>
      <c r="I128">
        <v>1100000.0</v>
      </c>
    </row>
    <row r="129">
      <c r="E129" t="s">
        <v>4</v>
      </c>
      <c r="F129" t="s">
        <v>48</v>
      </c>
    </row>
    <row r="130">
      <c r="E130" t="s">
        <v>6</v>
      </c>
      <c r="F130" t="s">
        <v>42</v>
      </c>
      <c r="G130">
        <v>210000.0</v>
      </c>
      <c r="H130">
        <v>2.0</v>
      </c>
      <c r="I130">
        <v>420000.0</v>
      </c>
    </row>
    <row r="131">
      <c r="E131" t="s">
        <v>7</v>
      </c>
      <c r="F131" t="s">
        <v>48</v>
      </c>
    </row>
    <row r="132">
      <c r="E132" t="s">
        <v>8</v>
      </c>
      <c r="F132" t="s">
        <v>9</v>
      </c>
      <c r="G132">
        <v>225000.0</v>
      </c>
      <c r="H132">
        <v>8.0</v>
      </c>
      <c r="I132">
        <f>G132*8</f>
        <v>1800000.0</v>
      </c>
    </row>
    <row r="133">
      <c r="E133" t="s">
        <v>10</v>
      </c>
    </row>
    <row r="134">
      <c r="E134" t="s">
        <v>11</v>
      </c>
      <c r="F134" t="s">
        <v>49</v>
      </c>
      <c r="G134">
        <v>85000.0</v>
      </c>
      <c r="H134">
        <v>2.0</v>
      </c>
      <c r="I134">
        <f>G134*2</f>
        <v>170000.0</v>
      </c>
    </row>
    <row r="135">
      <c r="E135" t="s">
        <v>13</v>
      </c>
      <c r="F135" t="s">
        <v>44</v>
      </c>
      <c r="G135">
        <v>275000.0</v>
      </c>
      <c r="H135">
        <v>5.0</v>
      </c>
      <c r="I135">
        <f>G135*5</f>
        <v>1375000.0</v>
      </c>
    </row>
    <row r="136">
      <c r="E136" t="s">
        <v>15</v>
      </c>
    </row>
    <row r="137" ht="27.0">
      <c r="E137" t="s">
        <v>16</v>
      </c>
      <c r="F137" s="10" t="s">
        <v>50</v>
      </c>
      <c r="G137">
        <v>1700000.0</v>
      </c>
      <c r="H137">
        <v>4.0</v>
      </c>
      <c r="I137">
        <f>G137*4</f>
        <v>6800000.0</v>
      </c>
    </row>
    <row r="138">
      <c r="E138" t="s">
        <v>17</v>
      </c>
    </row>
    <row r="139">
      <c r="E139" t="s">
        <v>18</v>
      </c>
    </row>
    <row r="140">
      <c r="E140" t="s">
        <v>20</v>
      </c>
    </row>
    <row r="141">
      <c r="E141" t="s">
        <v>21</v>
      </c>
    </row>
    <row r="142">
      <c r="E142" t="s">
        <v>22</v>
      </c>
      <c r="F142" t="s">
        <v>23</v>
      </c>
      <c r="G142">
        <v>110000.0</v>
      </c>
      <c r="H142">
        <v>1.0</v>
      </c>
      <c r="I142">
        <v>110000.0</v>
      </c>
    </row>
    <row r="143">
      <c r="E143" t="s">
        <v>24</v>
      </c>
      <c r="F143" t="s">
        <v>34</v>
      </c>
      <c r="G143" s="6">
        <v>26000.0</v>
      </c>
      <c r="H143" s="6">
        <v>1.0</v>
      </c>
      <c r="I143" s="6">
        <v>26000.0</v>
      </c>
    </row>
    <row r="144">
      <c r="E144" t="s">
        <v>26</v>
      </c>
      <c r="I144" s="7">
        <f>SUM(I128:I143)</f>
        <v>1.1801E7</v>
      </c>
    </row>
    <row r="145">
      <c r="E145" t="s">
        <v>27</v>
      </c>
      <c r="H145" s="8">
        <v>0.15</v>
      </c>
      <c r="I145" s="7">
        <f>I144*15%</f>
        <v>1770150.0</v>
      </c>
    </row>
    <row r="146">
      <c r="H146" t="s">
        <v>28</v>
      </c>
      <c r="I146" s="7">
        <f>SUM(I144:I145)</f>
        <v>1.357115E7</v>
      </c>
    </row>
    <row r="147">
      <c r="H147" t="s">
        <v>29</v>
      </c>
      <c r="I147" s="7">
        <f>I146*18%</f>
        <v>2442807.0</v>
      </c>
    </row>
    <row r="148">
      <c r="H148" t="s">
        <v>35</v>
      </c>
      <c r="I148" s="7">
        <f>SUM(I146:I147)</f>
        <v>1.6013957E7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2026-10-08T08:10:49Z</dcterms:created>
</cp:coreProperties>
</file>