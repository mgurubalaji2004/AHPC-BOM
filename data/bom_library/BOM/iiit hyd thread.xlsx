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3250" windowHeight="131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1" l="1"/>
  <c r="E8" i="1"/>
  <c r="E17" i="1" l="1"/>
  <c r="E18" i="1" s="1"/>
  <c r="E19" i="1" l="1"/>
  <c r="E20" i="1" l="1"/>
  <c r="E21" i="1" s="1"/>
</calcChain>
</file>

<file path=xl/sharedStrings.xml><?xml version="1.0" encoding="utf-8"?>
<sst xmlns="http://schemas.openxmlformats.org/spreadsheetml/2006/main" count="32" uniqueCount="32">
  <si>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</si>
  <si>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</si>
  <si>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</si>
  <si>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</si>
  <si>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</si>
  <si>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</si>
  <si>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</si>
  <si>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</si>
  <si>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</si>
  <si>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</si>
  <si>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</si>
  <si>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</si>
  <si>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</si>
  <si>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</si>
  <si>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</si>
  <si>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</si>
  <si>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>Unit Prize</t>
  </si>
  <si>
    <t>Sub Total</t>
  </si>
  <si>
    <t>Margin-15%</t>
  </si>
  <si>
    <t>From</t>
  </si>
  <si>
    <t>AMD Ryzen™ Threadripper™ PRO 7975WX (32-Cores, Base Freq 4.00GHz, Max Freq 5.30GHz, Cache 128MB)</t>
  </si>
  <si>
    <t xml:space="preserve">Air Cooler </t>
  </si>
  <si>
    <t xml:space="preserve">64GB DDR5 5200MHz ECC </t>
  </si>
  <si>
    <t>480GB SATA SSD</t>
  </si>
  <si>
    <t xml:space="preserve">GPU </t>
  </si>
  <si>
    <t>NVIDIA RTX PRO 6000 96GB GDDR7 Max-Q</t>
  </si>
  <si>
    <t>3.84TB M.2 NVMe SSD</t>
  </si>
  <si>
    <t xml:space="preserve">AiS 4U 12Bays </t>
  </si>
  <si>
    <t>2000W RPS</t>
  </si>
  <si>
    <t>9460-8i</t>
  </si>
  <si>
    <t>Connectx 200Gbs</t>
  </si>
  <si>
    <t>Pro WS WRX90E-SAGE SE ASUS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</si>
</sst>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22222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4" fontId="2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 readingOrder="1"/>
    </xf>
    <xf numFmtId="0" fontId="4" fillId="0" borderId="1" xfId="0" applyFont="1" applyBorder="1"/>
    <xf numFmtId="0" fontId="4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horizontal="right" readingOrder="1"/>
    </xf>
    <xf numFmtId="0" fontId="4" fillId="0" borderId="0" xfId="0" applyFont="1"/>
    <xf numFmtId="0" fontId="4" fillId="0" borderId="1" xfId="0" applyFont="1" applyBorder="1" applyAlignment="1">
      <alignment vertical="top"/>
    </xf>
    <xf numFmtId="3" fontId="4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4" fontId="4" fillId="0" borderId="1" xfId="0" applyNumberFormat="1" applyFont="1" applyBorder="1" applyAlignment="1">
      <alignment horizontal="center" wrapText="1"/>
    </xf>
    <xf numFmtId="4" fontId="4" fillId="0" borderId="0" xfId="0" applyNumberFormat="1" applyFont="1" applyAlignment="1">
      <alignment horizontal="right"/>
    </xf>
    <xf numFmtId="4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vertical="top" wrapText="1"/>
    </xf>
    <xf numFmtId="4" fontId="4" fillId="5" borderId="1" xfId="0" applyNumberFormat="1" applyFont="1" applyFill="1" applyBorder="1" applyAlignment="1">
      <alignment horizontal="center" vertical="top" wrapText="1"/>
    </xf>
    <xf numFmtId="9" fontId="4" fillId="4" borderId="1" xfId="0" applyNumberFormat="1" applyFont="1" applyFill="1" applyBorder="1" applyAlignment="1">
      <alignment wrapText="1"/>
    </xf>
    <xf numFmtId="14" fontId="0" fillId="0" borderId="2" xfId="0" applyNumberFormat="1" applyFont="1" applyBorder="1" applyAlignment="1">
      <alignment horizontal="center" wrapText="1"/>
    </xf>
    <xf numFmtId="14" fontId="0" fillId="0" borderId="3" xfId="0" applyNumberFormat="1" applyFont="1" applyBorder="1" applyAlignment="1">
      <alignment horizontal="center" wrapText="1"/>
    </xf>
    <xf numFmtId="4" fontId="0" fillId="0" borderId="0" xfId="0" applyNumberForma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topLeftCell="A3" zoomScaleNormal="100" workbookViewId="0">
      <selection activeCell="I15" sqref="I15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customWidth="1"/>
    <col min="4" max="4" width="15.5703125" customWidth="1"/>
    <col min="5" max="5" width="16.7109375" customWidth="1"/>
    <col min="6" max="6" width="15" customWidth="1"/>
  </cols>
  <sheetData>
    <row r="1" spans="1:9" x14ac:dyDescent="0.25">
      <c r="A1" s="1" t="s">
        <v>0</v>
      </c>
      <c r="B1" s="1"/>
      <c r="C1" s="2"/>
      <c r="D1" s="2"/>
      <c r="E1" s="2"/>
      <c r="F1" s="3"/>
    </row>
    <row r="2" spans="1:9" x14ac:dyDescent="0.25">
      <c r="A2" s="4" t="s">
        <v>1</v>
      </c>
      <c r="B2" s="2"/>
      <c r="C2" s="5" t="s">
        <v>2</v>
      </c>
      <c r="D2" s="28"/>
      <c r="E2" s="29"/>
      <c r="F2" s="3"/>
    </row>
    <row r="3" spans="1:9" x14ac:dyDescent="0.25">
      <c r="A3" s="6" t="s">
        <v>3</v>
      </c>
      <c r="B3" s="6" t="s">
        <v>4</v>
      </c>
      <c r="C3" s="6" t="s">
        <v>5</v>
      </c>
      <c r="D3" s="6" t="s">
        <v>16</v>
      </c>
      <c r="E3" s="6" t="s">
        <v>6</v>
      </c>
      <c r="F3" s="6" t="s">
        <v>19</v>
      </c>
    </row>
    <row r="4" spans="1:9" ht="15.75" x14ac:dyDescent="0.25">
      <c r="A4" s="9" t="s">
        <v>7</v>
      </c>
      <c r="B4" s="10" t="s">
        <v>27</v>
      </c>
      <c r="C4" s="11">
        <v>1</v>
      </c>
      <c r="D4" s="12">
        <v>150000</v>
      </c>
      <c r="E4" s="13">
        <v>150000</v>
      </c>
      <c r="F4" s="14"/>
    </row>
    <row r="5" spans="1:9" ht="15.75" x14ac:dyDescent="0.25">
      <c r="A5" s="9" t="s">
        <v>8</v>
      </c>
      <c r="B5" s="31" t="s">
        <v>31</v>
      </c>
      <c r="C5" s="11">
        <v>1</v>
      </c>
      <c r="D5" s="12">
        <v>56500</v>
      </c>
      <c r="E5" s="13">
        <v>160000</v>
      </c>
      <c r="F5" s="14"/>
    </row>
    <row r="6" spans="1:9" ht="47.25" x14ac:dyDescent="0.25">
      <c r="A6" s="9" t="s">
        <v>9</v>
      </c>
      <c r="B6" s="15" t="s">
        <v>20</v>
      </c>
      <c r="C6" s="11">
        <v>1</v>
      </c>
      <c r="D6" s="12">
        <v>290000</v>
      </c>
      <c r="E6" s="16">
        <v>300000</v>
      </c>
      <c r="F6" s="14"/>
    </row>
    <row r="7" spans="1:9" ht="15.75" x14ac:dyDescent="0.25">
      <c r="A7" s="9" t="s">
        <v>10</v>
      </c>
      <c r="B7" s="17" t="s">
        <v>21</v>
      </c>
      <c r="C7" s="11">
        <v>1</v>
      </c>
      <c r="D7" s="12">
        <v>9000</v>
      </c>
      <c r="E7" s="16">
        <v>9000</v>
      </c>
      <c r="F7" s="14"/>
    </row>
    <row r="8" spans="1:9" ht="15.75" x14ac:dyDescent="0.25">
      <c r="A8" s="9" t="s">
        <v>11</v>
      </c>
      <c r="B8" s="18" t="s">
        <v>22</v>
      </c>
      <c r="C8" s="11">
        <v>4</v>
      </c>
      <c r="D8" s="12">
        <v>210000</v>
      </c>
      <c r="E8" s="16">
        <f>D8*4</f>
        <v>840000</v>
      </c>
      <c r="F8" s="14"/>
    </row>
    <row r="9" spans="1:9" ht="15.75" x14ac:dyDescent="0.25">
      <c r="A9" s="9" t="s">
        <v>12</v>
      </c>
      <c r="B9" s="15" t="s">
        <v>23</v>
      </c>
      <c r="C9" s="11">
        <v>2</v>
      </c>
      <c r="D9" s="12">
        <v>31000</v>
      </c>
      <c r="E9" s="16">
        <v>62000</v>
      </c>
      <c r="F9" s="14"/>
    </row>
    <row r="10" spans="1:9" ht="15.75" x14ac:dyDescent="0.25">
      <c r="A10" s="9"/>
      <c r="B10" s="15" t="s">
        <v>26</v>
      </c>
      <c r="C10" s="11">
        <v>2</v>
      </c>
      <c r="D10" s="12">
        <v>170000</v>
      </c>
      <c r="E10" s="16">
        <f>D10*2</f>
        <v>340000</v>
      </c>
      <c r="F10" s="14"/>
    </row>
    <row r="11" spans="1:9" ht="15.75" x14ac:dyDescent="0.25">
      <c r="A11" s="9"/>
      <c r="B11" s="15" t="s">
        <v>29</v>
      </c>
      <c r="C11" s="11">
        <v>1</v>
      </c>
      <c r="D11" s="12">
        <v>65000</v>
      </c>
      <c r="E11" s="16">
        <v>75000</v>
      </c>
      <c r="F11" s="14"/>
    </row>
    <row r="12" spans="1:9" ht="15.75" x14ac:dyDescent="0.25">
      <c r="A12" s="9"/>
      <c r="B12" s="15"/>
      <c r="C12" s="11"/>
      <c r="D12" s="12"/>
      <c r="E12" s="16"/>
      <c r="F12" s="14"/>
    </row>
    <row r="13" spans="1:9" ht="15.75" x14ac:dyDescent="0.25">
      <c r="A13" s="9"/>
      <c r="B13" s="15" t="s">
        <v>30</v>
      </c>
      <c r="C13" s="11">
        <v>1</v>
      </c>
      <c r="D13" s="12">
        <v>300000</v>
      </c>
      <c r="E13" s="16">
        <v>300000</v>
      </c>
      <c r="F13" s="14"/>
    </row>
    <row r="14" spans="1:9" ht="15.75" x14ac:dyDescent="0.25">
      <c r="A14" s="9" t="s">
        <v>24</v>
      </c>
      <c r="B14" s="15" t="s">
        <v>25</v>
      </c>
      <c r="C14" s="11">
        <v>1</v>
      </c>
      <c r="D14" s="12">
        <v>1400000</v>
      </c>
      <c r="E14" s="16">
        <v>1400000</v>
      </c>
      <c r="F14" s="14"/>
    </row>
    <row r="15" spans="1:9" ht="15.75" x14ac:dyDescent="0.25">
      <c r="A15" s="9" t="s">
        <v>13</v>
      </c>
      <c r="B15" s="15" t="s">
        <v>28</v>
      </c>
      <c r="C15" s="11">
        <v>1</v>
      </c>
      <c r="D15" s="12">
        <v>0</v>
      </c>
      <c r="E15" s="19">
        <v>10000</v>
      </c>
      <c r="F15" s="14"/>
    </row>
    <row r="16" spans="1:9" ht="14.25" customHeight="1" x14ac:dyDescent="0.25">
      <c r="A16" s="9"/>
      <c r="B16" s="18"/>
      <c r="C16" s="11"/>
      <c r="D16" s="12"/>
      <c r="E16" s="19"/>
      <c r="F16" s="14"/>
      <c r="I16" s="30"/>
    </row>
    <row r="17" spans="1:9" ht="16.149999999999999" customHeight="1" x14ac:dyDescent="0.25">
      <c r="A17" s="9"/>
      <c r="B17" s="20"/>
      <c r="C17" s="21" t="s">
        <v>17</v>
      </c>
      <c r="D17" s="22"/>
      <c r="E17" s="8">
        <f>SUM(E4:E16)</f>
        <v>3646000</v>
      </c>
      <c r="F17" s="14"/>
      <c r="I17" s="30"/>
    </row>
    <row r="18" spans="1:9" ht="16.149999999999999" customHeight="1" x14ac:dyDescent="0.25">
      <c r="A18" s="9"/>
      <c r="B18" s="20"/>
      <c r="C18" s="27">
        <v>0.15</v>
      </c>
      <c r="D18" s="22"/>
      <c r="E18" s="23">
        <f>E17*15%</f>
        <v>546900</v>
      </c>
      <c r="F18" s="14"/>
      <c r="I18" s="30"/>
    </row>
    <row r="19" spans="1:9" ht="18" customHeight="1" x14ac:dyDescent="0.25">
      <c r="A19" s="9"/>
      <c r="B19" s="9"/>
      <c r="C19" s="21" t="s">
        <v>18</v>
      </c>
      <c r="D19" s="24"/>
      <c r="E19" s="8">
        <f>SUM(E17:E18)</f>
        <v>4192900</v>
      </c>
      <c r="F19" s="14"/>
    </row>
    <row r="20" spans="1:9" ht="15.75" x14ac:dyDescent="0.25">
      <c r="A20" s="9"/>
      <c r="B20" s="9"/>
      <c r="C20" s="25" t="s">
        <v>14</v>
      </c>
      <c r="D20" s="26"/>
      <c r="E20" s="7">
        <f>E19*18%</f>
        <v>754722</v>
      </c>
      <c r="F20" s="14"/>
    </row>
    <row r="21" spans="1:9" ht="15.75" x14ac:dyDescent="0.25">
      <c r="A21" s="9"/>
      <c r="B21" s="9"/>
      <c r="C21" s="25" t="s">
        <v>15</v>
      </c>
      <c r="D21" s="26"/>
      <c r="E21" s="7">
        <f>SUM(E19:E20)</f>
        <v>4947622</v>
      </c>
      <c r="F21" s="14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2026-08-25T15:07:08Z</dcterms:modified>
</cp:coreProperties>
</file>