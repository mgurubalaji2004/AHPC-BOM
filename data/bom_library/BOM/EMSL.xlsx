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0" yWindow="0" windowWidth="3660" windowHeight="750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9" i="1" l="1"/>
  <c r="I70" i="1" l="1"/>
  <c r="I33" i="1" l="1"/>
  <c r="I51" i="1"/>
  <c r="I14" i="1" l="1"/>
</calcChain>
</file>

<file path=xl/sharedStrings.xml><?xml version="1.0" encoding="utf-8"?>
<sst xmlns="http://schemas.openxmlformats.org/spreadsheetml/2006/main" count="165" uniqueCount="61">
  <si>
    <t>Motherboard</t>
  </si>
  <si>
    <t>CPU</t>
  </si>
  <si>
    <t>Heatsink</t>
  </si>
  <si>
    <t>Memory</t>
  </si>
  <si>
    <t>Components</t>
  </si>
  <si>
    <t>Model</t>
  </si>
  <si>
    <t>Quantity</t>
  </si>
  <si>
    <t>Total Price</t>
  </si>
  <si>
    <t>Sub total</t>
  </si>
  <si>
    <t>GST -18%</t>
  </si>
  <si>
    <t>Date</t>
  </si>
  <si>
    <t xml:space="preserve">Customer </t>
  </si>
  <si>
    <t>Unit Price</t>
  </si>
  <si>
    <t xml:space="preserve">Reference </t>
  </si>
  <si>
    <t>Chassis</t>
  </si>
  <si>
    <t>PowerSupply</t>
  </si>
  <si>
    <t>SSD</t>
  </si>
  <si>
    <t>Raid controller</t>
  </si>
  <si>
    <t xml:space="preserve">SERVER SPEC </t>
  </si>
  <si>
    <t>HDD</t>
  </si>
  <si>
    <t>PSU</t>
  </si>
  <si>
    <t xml:space="preserve">Raid </t>
  </si>
  <si>
    <t>7343 16core AMD</t>
  </si>
  <si>
    <t>SP3 Heatsink</t>
  </si>
  <si>
    <t>32GB DDR4 ECC</t>
  </si>
  <si>
    <t>4GB Raid Controller</t>
  </si>
  <si>
    <t>1.92TB SSD SATA</t>
  </si>
  <si>
    <t xml:space="preserve">Network </t>
  </si>
  <si>
    <t>Dual 1G LAN ADAPter</t>
  </si>
  <si>
    <t>800W RPS</t>
  </si>
  <si>
    <t>EMSL</t>
  </si>
  <si>
    <t>Total Quantity</t>
  </si>
  <si>
    <t xml:space="preserve">B760 GAMING X GEN5 Intel® B760 Express Chipset </t>
  </si>
  <si>
    <t xml:space="preserve">360mm Liquid Cooler	</t>
  </si>
  <si>
    <t xml:space="preserve">16gb ram ddr5 </t>
  </si>
  <si>
    <t xml:space="preserve">WIN 11 Pro OS </t>
  </si>
  <si>
    <t xml:space="preserve">Anti virus </t>
  </si>
  <si>
    <t>Anti virus latest</t>
  </si>
  <si>
    <t>850W PSU</t>
  </si>
  <si>
    <t>OS</t>
  </si>
  <si>
    <t xml:space="preserve">Monitor </t>
  </si>
  <si>
    <t>Keyboard mouse</t>
  </si>
  <si>
    <t xml:space="preserve">Wired Keyboard mouse </t>
  </si>
  <si>
    <t>total Quantity</t>
  </si>
  <si>
    <t>2U 8-Bays Rackmountable</t>
  </si>
  <si>
    <t>MZ72-HB2</t>
  </si>
  <si>
    <t>1TB NVMe SSD</t>
  </si>
  <si>
    <t>Intel® Core™ i7 processor 14700f (20-Cores, Base Freq 2.10GHz, Max Freq 5.40GHz, Cache 33MB)</t>
  </si>
  <si>
    <t xml:space="preserve">RM25324 ATX </t>
  </si>
  <si>
    <t>ROMED8-2T/BCM</t>
  </si>
  <si>
    <t>AMD EPYC™ 7343</t>
  </si>
  <si>
    <t xml:space="preserve">16GB DDR4 </t>
  </si>
  <si>
    <t>12TB SATA HDD</t>
  </si>
  <si>
    <t>480GB SATA SSD</t>
  </si>
  <si>
    <t>8GB Raid Controller</t>
  </si>
  <si>
    <t>cool master 310c</t>
  </si>
  <si>
    <t>21 Inch Monitor with tocuh screen Acer UT222Q Net. 17350</t>
  </si>
  <si>
    <t>Margin Price 35%</t>
  </si>
  <si>
    <t xml:space="preserve">SP3 Socket </t>
  </si>
  <si>
    <t>22TB SATA HDD</t>
  </si>
  <si>
    <t>18TB SATA HDD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</si>
</sst>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color rgb="FF000000"/>
      <name val="Roboto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top"/>
    </xf>
  </cellStyleXfs>
  <cellXfs count="32">
    <xf numFmtId="0" fontId="0" fillId="0" borderId="0" xfId="0">
      <alignment vertical="top"/>
    </xf>
    <xf numFmtId="0" fontId="0" fillId="0" borderId="0" xfId="0" applyAlignment="1">
      <alignment horizontal="center" vertical="top"/>
    </xf>
    <xf numFmtId="0" fontId="0" fillId="5" borderId="0" xfId="0" applyFill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/>
    <xf numFmtId="0" fontId="2" fillId="0" borderId="1" xfId="0" applyFont="1" applyBorder="1" applyAlignment="1">
      <alignment wrapText="1"/>
    </xf>
    <xf numFmtId="0" fontId="2" fillId="0" borderId="1" xfId="0" applyFont="1" applyBorder="1">
      <alignment vertical="top"/>
    </xf>
    <xf numFmtId="4" fontId="2" fillId="0" borderId="1" xfId="0" applyNumberFormat="1" applyFont="1" applyBorder="1" applyAlignment="1">
      <alignment horizontal="center" vertical="top"/>
    </xf>
    <xf numFmtId="0" fontId="3" fillId="3" borderId="1" xfId="0" applyFont="1" applyFill="1" applyBorder="1">
      <alignment vertical="top"/>
    </xf>
    <xf numFmtId="0" fontId="3" fillId="3" borderId="4" xfId="0" applyFont="1" applyFill="1" applyBorder="1">
      <alignment vertical="top"/>
    </xf>
    <xf numFmtId="0" fontId="1" fillId="4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>
      <alignment vertical="top"/>
    </xf>
    <xf numFmtId="0" fontId="1" fillId="3" borderId="5" xfId="0" applyFont="1" applyFill="1" applyBorder="1" applyAlignment="1">
      <alignment horizontal="center" vertical="top"/>
    </xf>
    <xf numFmtId="0" fontId="1" fillId="2" borderId="3" xfId="0" applyFont="1" applyFill="1" applyBorder="1">
      <alignment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>
      <alignment vertical="top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top"/>
    </xf>
    <xf numFmtId="0" fontId="1" fillId="0" borderId="0" xfId="0" applyFont="1">
      <alignment vertical="top"/>
    </xf>
    <xf numFmtId="0" fontId="1" fillId="0" borderId="0" xfId="0" applyFont="1" applyAlignment="1">
      <alignment horizontal="center" vertical="top"/>
    </xf>
    <xf numFmtId="4" fontId="1" fillId="0" borderId="0" xfId="0" applyNumberFormat="1" applyFont="1">
      <alignment vertical="top"/>
    </xf>
    <xf numFmtId="3" fontId="1" fillId="0" borderId="1" xfId="0" applyNumberFormat="1" applyFont="1" applyBorder="1" applyAlignment="1">
      <alignment horizontal="center" vertical="top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L92"/>
  <sheetViews>
    <sheetView tabSelected="1" topLeftCell="C70" zoomScale="115" zoomScaleNormal="115" workbookViewId="0">
      <selection activeCell="L78" sqref="L78:L81"/>
    </sheetView>
  </sheetViews>
  <sheetFormatPr defaultRowHeight="14.1" customHeight="1"/>
  <cols>
    <col min="1" max="4" width="13.28515625"/>
    <col min="5" max="5" width="18.28515625" bestFit="1" customWidth="1"/>
    <col min="6" max="6" width="65.28515625" bestFit="1" customWidth="1"/>
    <col min="7" max="7" width="16.5703125" style="1" bestFit="1" customWidth="1"/>
    <col min="8" max="8" width="11.5703125" style="1" customWidth="1"/>
    <col min="9" max="9" width="14.42578125" style="1" customWidth="1"/>
    <col min="10" max="10" width="16.140625" customWidth="1"/>
  </cols>
  <sheetData>
    <row r="2" spans="5:10" ht="14.1" customHeight="1">
      <c r="E2" s="10" t="s">
        <v>11</v>
      </c>
      <c r="F2" s="11" t="s">
        <v>30</v>
      </c>
      <c r="G2" s="12"/>
      <c r="H2" s="13"/>
      <c r="I2" s="14"/>
      <c r="J2" s="15"/>
    </row>
    <row r="3" spans="5:10" ht="14.1" customHeight="1">
      <c r="E3" s="15"/>
      <c r="F3" s="15" t="s">
        <v>18</v>
      </c>
      <c r="G3" s="16" t="s">
        <v>10</v>
      </c>
      <c r="H3" s="14"/>
      <c r="I3" s="14"/>
      <c r="J3" s="15"/>
    </row>
    <row r="4" spans="5:10" ht="14.1" customHeight="1">
      <c r="E4" s="17" t="s">
        <v>4</v>
      </c>
      <c r="F4" s="17" t="s">
        <v>5</v>
      </c>
      <c r="G4" s="18" t="s">
        <v>6</v>
      </c>
      <c r="H4" s="18" t="s">
        <v>12</v>
      </c>
      <c r="I4" s="18" t="s">
        <v>7</v>
      </c>
      <c r="J4" s="19" t="s">
        <v>31</v>
      </c>
    </row>
    <row r="5" spans="5:10" ht="14.1" customHeight="1">
      <c r="E5" s="3" t="s">
        <v>14</v>
      </c>
      <c r="F5" s="20" t="s">
        <v>44</v>
      </c>
      <c r="G5" s="21">
        <v>1</v>
      </c>
      <c r="H5" s="22">
        <v>80000</v>
      </c>
      <c r="I5" s="22">
        <v>80000</v>
      </c>
      <c r="J5" s="23">
        <v>3</v>
      </c>
    </row>
    <row r="6" spans="5:10" ht="15">
      <c r="E6" s="3" t="s">
        <v>0</v>
      </c>
      <c r="F6" s="24" t="s">
        <v>45</v>
      </c>
      <c r="G6" s="21">
        <v>1</v>
      </c>
      <c r="H6" s="22">
        <v>81000</v>
      </c>
      <c r="I6" s="22">
        <v>85000</v>
      </c>
      <c r="J6" s="25"/>
    </row>
    <row r="7" spans="5:10" ht="14.1" customHeight="1">
      <c r="E7" s="3" t="s">
        <v>1</v>
      </c>
      <c r="F7" s="3" t="s">
        <v>22</v>
      </c>
      <c r="G7" s="21">
        <v>2</v>
      </c>
      <c r="H7" s="22">
        <v>150000</v>
      </c>
      <c r="I7" s="22">
        <v>350000</v>
      </c>
      <c r="J7" s="25"/>
    </row>
    <row r="8" spans="5:10" ht="14.1" customHeight="1">
      <c r="E8" s="3" t="s">
        <v>2</v>
      </c>
      <c r="F8" s="4" t="s">
        <v>23</v>
      </c>
      <c r="G8" s="21">
        <v>2</v>
      </c>
      <c r="H8" s="22">
        <v>7500</v>
      </c>
      <c r="I8" s="22">
        <v>15000</v>
      </c>
      <c r="J8" s="25"/>
    </row>
    <row r="9" spans="5:10" ht="14.1" customHeight="1">
      <c r="E9" s="3" t="s">
        <v>3</v>
      </c>
      <c r="F9" s="3" t="s">
        <v>24</v>
      </c>
      <c r="G9" s="21">
        <v>8</v>
      </c>
      <c r="H9" s="22">
        <v>15000</v>
      </c>
      <c r="I9" s="22">
        <v>120000</v>
      </c>
      <c r="J9" s="25"/>
    </row>
    <row r="10" spans="5:10" ht="14.1" customHeight="1">
      <c r="E10" s="3" t="s">
        <v>17</v>
      </c>
      <c r="F10" s="3" t="s">
        <v>25</v>
      </c>
      <c r="G10" s="21">
        <v>1</v>
      </c>
      <c r="H10" s="22">
        <v>50000</v>
      </c>
      <c r="I10" s="22">
        <v>80000</v>
      </c>
      <c r="J10" s="25"/>
    </row>
    <row r="11" spans="5:10" ht="14.1" customHeight="1">
      <c r="E11" s="3" t="s">
        <v>16</v>
      </c>
      <c r="F11" s="4" t="s">
        <v>26</v>
      </c>
      <c r="G11" s="21">
        <v>4</v>
      </c>
      <c r="H11" s="22">
        <v>81000</v>
      </c>
      <c r="I11" s="22">
        <v>325000</v>
      </c>
      <c r="J11" s="25"/>
    </row>
    <row r="12" spans="5:10" ht="14.1" customHeight="1">
      <c r="E12" s="3" t="s">
        <v>27</v>
      </c>
      <c r="F12" s="4" t="s">
        <v>28</v>
      </c>
      <c r="G12" s="21">
        <v>1</v>
      </c>
      <c r="H12" s="22">
        <v>20000</v>
      </c>
      <c r="I12" s="22">
        <v>20000</v>
      </c>
      <c r="J12" s="25"/>
    </row>
    <row r="13" spans="5:10" ht="14.1" customHeight="1">
      <c r="E13" s="3" t="s">
        <v>15</v>
      </c>
      <c r="F13" s="3" t="s">
        <v>29</v>
      </c>
      <c r="G13" s="21">
        <v>1</v>
      </c>
      <c r="H13" s="22">
        <v>0</v>
      </c>
      <c r="I13" s="22">
        <v>0</v>
      </c>
      <c r="J13" s="26"/>
    </row>
    <row r="14" spans="5:10" ht="14.1" customHeight="1">
      <c r="E14" s="4"/>
      <c r="F14" s="4"/>
      <c r="G14" s="18" t="s">
        <v>8</v>
      </c>
      <c r="H14" s="21"/>
      <c r="I14" s="27">
        <f>SUM(I5:I13)</f>
        <v>1075000</v>
      </c>
      <c r="J14" s="4"/>
    </row>
    <row r="15" spans="5:10" ht="14.1" customHeight="1">
      <c r="E15" s="4"/>
      <c r="F15" s="4"/>
      <c r="G15" s="18" t="s">
        <v>57</v>
      </c>
      <c r="H15" s="21"/>
      <c r="I15" s="27">
        <v>1451250</v>
      </c>
      <c r="J15" s="27">
        <v>4353750</v>
      </c>
    </row>
    <row r="16" spans="5:10" ht="14.1" customHeight="1">
      <c r="E16" s="4"/>
      <c r="F16" s="4"/>
      <c r="G16" s="18" t="s">
        <v>9</v>
      </c>
      <c r="H16" s="21"/>
      <c r="I16" s="27">
        <v>261225</v>
      </c>
      <c r="J16" s="27">
        <v>783675</v>
      </c>
    </row>
    <row r="17" spans="5:10" ht="14.1" customHeight="1">
      <c r="E17" s="4"/>
      <c r="F17" s="4"/>
      <c r="G17" s="18" t="s">
        <v>7</v>
      </c>
      <c r="H17" s="21"/>
      <c r="I17" s="27">
        <v>1712475</v>
      </c>
      <c r="J17" s="27">
        <v>5137425</v>
      </c>
    </row>
    <row r="18" spans="5:10" ht="14.1" customHeight="1">
      <c r="E18" s="28"/>
      <c r="F18" s="28"/>
      <c r="G18" s="29"/>
      <c r="H18" s="29"/>
      <c r="I18" s="29"/>
      <c r="J18" s="28"/>
    </row>
    <row r="19" spans="5:10" ht="14.1" customHeight="1">
      <c r="E19" s="10" t="s">
        <v>11</v>
      </c>
      <c r="F19" s="10"/>
      <c r="G19" s="12"/>
      <c r="H19" s="13"/>
      <c r="I19" s="14"/>
      <c r="J19" s="14"/>
    </row>
    <row r="20" spans="5:10" ht="14.1" customHeight="1">
      <c r="E20" s="15"/>
      <c r="F20" s="15"/>
      <c r="G20" s="14" t="s">
        <v>10</v>
      </c>
      <c r="H20" s="14"/>
      <c r="I20" s="14"/>
      <c r="J20" s="14"/>
    </row>
    <row r="21" spans="5:10" ht="14.1" customHeight="1">
      <c r="E21" s="19" t="s">
        <v>4</v>
      </c>
      <c r="F21" s="19" t="s">
        <v>5</v>
      </c>
      <c r="G21" s="18" t="s">
        <v>6</v>
      </c>
      <c r="H21" s="18" t="s">
        <v>12</v>
      </c>
      <c r="I21" s="18" t="s">
        <v>7</v>
      </c>
      <c r="J21" s="18" t="s">
        <v>43</v>
      </c>
    </row>
    <row r="22" spans="5:10" ht="14.1" customHeight="1">
      <c r="E22" s="3" t="s">
        <v>14</v>
      </c>
      <c r="F22" s="6" t="s">
        <v>55</v>
      </c>
      <c r="G22" s="21">
        <v>1</v>
      </c>
      <c r="H22" s="22">
        <v>2200</v>
      </c>
      <c r="I22" s="22">
        <v>2500</v>
      </c>
      <c r="J22" s="23">
        <v>22</v>
      </c>
    </row>
    <row r="23" spans="5:10" ht="15.75">
      <c r="E23" s="3" t="s">
        <v>0</v>
      </c>
      <c r="F23" s="7" t="s">
        <v>32</v>
      </c>
      <c r="G23" s="21">
        <v>1</v>
      </c>
      <c r="H23" s="22">
        <v>11000</v>
      </c>
      <c r="I23" s="22">
        <v>11000</v>
      </c>
      <c r="J23" s="25"/>
    </row>
    <row r="24" spans="5:10" ht="33" customHeight="1">
      <c r="E24" s="3" t="s">
        <v>1</v>
      </c>
      <c r="F24" s="5" t="s">
        <v>47</v>
      </c>
      <c r="G24" s="21">
        <v>1</v>
      </c>
      <c r="H24" s="22">
        <v>29500</v>
      </c>
      <c r="I24" s="22">
        <v>30000</v>
      </c>
      <c r="J24" s="25"/>
    </row>
    <row r="25" spans="5:10" ht="14.1" customHeight="1">
      <c r="E25" s="3" t="s">
        <v>2</v>
      </c>
      <c r="F25" s="8" t="s">
        <v>33</v>
      </c>
      <c r="G25" s="21">
        <v>1</v>
      </c>
      <c r="H25" s="22">
        <v>6500</v>
      </c>
      <c r="I25" s="22">
        <v>6500</v>
      </c>
      <c r="J25" s="25"/>
    </row>
    <row r="26" spans="5:10" ht="14.1" customHeight="1">
      <c r="E26" s="3" t="s">
        <v>3</v>
      </c>
      <c r="F26" s="5" t="s">
        <v>34</v>
      </c>
      <c r="G26" s="21">
        <v>1</v>
      </c>
      <c r="H26" s="22">
        <v>23000</v>
      </c>
      <c r="I26" s="22">
        <v>23000</v>
      </c>
      <c r="J26" s="25"/>
    </row>
    <row r="27" spans="5:10" ht="14.1" customHeight="1">
      <c r="E27" s="3" t="s">
        <v>16</v>
      </c>
      <c r="F27" s="8" t="s">
        <v>46</v>
      </c>
      <c r="G27" s="21">
        <v>1</v>
      </c>
      <c r="H27" s="22">
        <v>15500</v>
      </c>
      <c r="I27" s="22">
        <v>15500</v>
      </c>
      <c r="J27" s="25"/>
    </row>
    <row r="28" spans="5:10" ht="14.1" customHeight="1">
      <c r="E28" s="3" t="s">
        <v>41</v>
      </c>
      <c r="F28" s="5" t="s">
        <v>42</v>
      </c>
      <c r="G28" s="21">
        <v>1</v>
      </c>
      <c r="H28" s="22">
        <v>1000</v>
      </c>
      <c r="I28" s="22">
        <v>1000</v>
      </c>
      <c r="J28" s="25"/>
    </row>
    <row r="29" spans="5:10" ht="14.1" customHeight="1">
      <c r="E29" s="3" t="s">
        <v>40</v>
      </c>
      <c r="F29" s="5" t="s">
        <v>56</v>
      </c>
      <c r="G29" s="21">
        <v>1</v>
      </c>
      <c r="H29" s="22">
        <v>15000</v>
      </c>
      <c r="I29" s="22">
        <v>15000</v>
      </c>
      <c r="J29" s="25"/>
    </row>
    <row r="30" spans="5:10" ht="14.1" customHeight="1">
      <c r="E30" s="3" t="s">
        <v>39</v>
      </c>
      <c r="F30" s="5" t="s">
        <v>35</v>
      </c>
      <c r="G30" s="21">
        <v>1</v>
      </c>
      <c r="H30" s="22">
        <v>8500</v>
      </c>
      <c r="I30" s="22">
        <v>8500</v>
      </c>
      <c r="J30" s="25"/>
    </row>
    <row r="31" spans="5:10" ht="14.1" customHeight="1">
      <c r="E31" s="3" t="s">
        <v>36</v>
      </c>
      <c r="F31" s="5" t="s">
        <v>37</v>
      </c>
      <c r="G31" s="21">
        <v>1</v>
      </c>
      <c r="H31" s="22">
        <v>12500</v>
      </c>
      <c r="I31" s="22">
        <v>12500</v>
      </c>
      <c r="J31" s="25"/>
    </row>
    <row r="32" spans="5:10" ht="14.1" customHeight="1">
      <c r="E32" s="3" t="s">
        <v>20</v>
      </c>
      <c r="F32" s="5" t="s">
        <v>38</v>
      </c>
      <c r="G32" s="21">
        <v>1</v>
      </c>
      <c r="H32" s="22">
        <v>8500</v>
      </c>
      <c r="I32" s="22">
        <v>8500</v>
      </c>
      <c r="J32" s="26"/>
    </row>
    <row r="33" spans="3:10" ht="14.1" customHeight="1">
      <c r="E33" s="4"/>
      <c r="F33" s="4"/>
      <c r="G33" s="18" t="s">
        <v>8</v>
      </c>
      <c r="H33" s="21"/>
      <c r="I33" s="27">
        <f>SUM(I22:I32)</f>
        <v>134000</v>
      </c>
      <c r="J33" s="4"/>
    </row>
    <row r="34" spans="3:10" ht="14.1" customHeight="1">
      <c r="E34" s="4"/>
      <c r="F34" s="4"/>
      <c r="G34" s="18" t="s">
        <v>57</v>
      </c>
      <c r="H34" s="21"/>
      <c r="I34" s="9">
        <v>180900</v>
      </c>
      <c r="J34" s="9">
        <v>3979800</v>
      </c>
    </row>
    <row r="35" spans="3:10" ht="14.1" customHeight="1">
      <c r="E35" s="4"/>
      <c r="F35" s="4"/>
      <c r="G35" s="18" t="s">
        <v>9</v>
      </c>
      <c r="H35" s="21"/>
      <c r="I35" s="27"/>
      <c r="J35" s="9">
        <v>716364</v>
      </c>
    </row>
    <row r="36" spans="3:10" ht="14.1" customHeight="1">
      <c r="E36" s="4"/>
      <c r="F36" s="4"/>
      <c r="G36" s="18" t="s">
        <v>7</v>
      </c>
      <c r="H36" s="21"/>
      <c r="I36" s="27"/>
      <c r="J36" s="9">
        <v>4696164</v>
      </c>
    </row>
    <row r="37" spans="3:10" ht="14.1" customHeight="1">
      <c r="C37" s="2"/>
      <c r="E37" s="28"/>
      <c r="F37" s="30"/>
      <c r="G37" s="28"/>
      <c r="H37" s="28"/>
      <c r="I37" s="29"/>
      <c r="J37" s="28"/>
    </row>
    <row r="38" spans="3:10" ht="14.1" customHeight="1">
      <c r="E38" s="10" t="s">
        <v>11</v>
      </c>
      <c r="F38" s="10"/>
      <c r="G38" s="12"/>
      <c r="H38" s="13"/>
      <c r="I38" s="14"/>
      <c r="J38" s="14"/>
    </row>
    <row r="39" spans="3:10" ht="14.1" customHeight="1">
      <c r="E39" s="15" t="s">
        <v>13</v>
      </c>
      <c r="F39" s="15"/>
      <c r="G39" s="14" t="s">
        <v>10</v>
      </c>
      <c r="H39" s="14"/>
      <c r="I39" s="14"/>
      <c r="J39" s="14"/>
    </row>
    <row r="40" spans="3:10" ht="14.1" customHeight="1">
      <c r="E40" s="19" t="s">
        <v>4</v>
      </c>
      <c r="F40" s="19" t="s">
        <v>5</v>
      </c>
      <c r="G40" s="18" t="s">
        <v>6</v>
      </c>
      <c r="H40" s="18" t="s">
        <v>12</v>
      </c>
      <c r="I40" s="18" t="s">
        <v>7</v>
      </c>
      <c r="J40" s="18" t="s">
        <v>43</v>
      </c>
    </row>
    <row r="41" spans="3:10" ht="14.1" customHeight="1">
      <c r="E41" s="3" t="s">
        <v>14</v>
      </c>
      <c r="F41" s="20" t="s">
        <v>48</v>
      </c>
      <c r="G41" s="21">
        <v>1</v>
      </c>
      <c r="H41" s="22">
        <v>200000</v>
      </c>
      <c r="I41" s="22">
        <v>350000</v>
      </c>
      <c r="J41" s="23">
        <v>3</v>
      </c>
    </row>
    <row r="42" spans="3:10" ht="14.1" customHeight="1">
      <c r="E42" s="3" t="s">
        <v>0</v>
      </c>
      <c r="F42" s="24" t="s">
        <v>49</v>
      </c>
      <c r="G42" s="21">
        <v>1</v>
      </c>
      <c r="H42" s="22">
        <v>75000</v>
      </c>
      <c r="I42" s="22">
        <v>75000</v>
      </c>
      <c r="J42" s="25"/>
    </row>
    <row r="43" spans="3:10" ht="14.1" customHeight="1">
      <c r="E43" s="3" t="s">
        <v>1</v>
      </c>
      <c r="F43" s="3" t="s">
        <v>50</v>
      </c>
      <c r="G43" s="21">
        <v>1</v>
      </c>
      <c r="H43" s="22">
        <v>150000</v>
      </c>
      <c r="I43" s="22">
        <v>350000</v>
      </c>
      <c r="J43" s="25"/>
    </row>
    <row r="44" spans="3:10" ht="14.1" customHeight="1">
      <c r="E44" s="3" t="s">
        <v>2</v>
      </c>
      <c r="F44" s="4" t="s">
        <v>58</v>
      </c>
      <c r="G44" s="21">
        <v>1</v>
      </c>
      <c r="H44" s="22">
        <v>6500</v>
      </c>
      <c r="I44" s="22">
        <v>7000</v>
      </c>
      <c r="J44" s="25"/>
    </row>
    <row r="45" spans="3:10" ht="14.1" customHeight="1">
      <c r="E45" s="3" t="s">
        <v>3</v>
      </c>
      <c r="F45" s="3" t="s">
        <v>51</v>
      </c>
      <c r="G45" s="21">
        <v>1</v>
      </c>
      <c r="H45" s="22">
        <v>15000</v>
      </c>
      <c r="I45" s="22">
        <v>15000</v>
      </c>
      <c r="J45" s="25"/>
    </row>
    <row r="46" spans="3:10" ht="14.1" customHeight="1">
      <c r="E46" s="3" t="s">
        <v>21</v>
      </c>
      <c r="F46" s="3" t="s">
        <v>54</v>
      </c>
      <c r="G46" s="21">
        <v>1</v>
      </c>
      <c r="H46" s="22">
        <v>190000</v>
      </c>
      <c r="I46" s="22">
        <v>200000</v>
      </c>
      <c r="J46" s="25"/>
    </row>
    <row r="47" spans="3:10" ht="14.1" customHeight="1">
      <c r="E47" s="3" t="s">
        <v>16</v>
      </c>
      <c r="F47" s="4" t="s">
        <v>53</v>
      </c>
      <c r="G47" s="21">
        <v>2</v>
      </c>
      <c r="H47" s="22">
        <v>25000</v>
      </c>
      <c r="I47" s="22">
        <v>55000</v>
      </c>
      <c r="J47" s="25"/>
    </row>
    <row r="48" spans="3:10" ht="14.1" customHeight="1">
      <c r="E48" s="3" t="s">
        <v>19</v>
      </c>
      <c r="F48" s="3" t="s">
        <v>52</v>
      </c>
      <c r="G48" s="21">
        <v>22</v>
      </c>
      <c r="H48" s="22">
        <v>54000</v>
      </c>
      <c r="I48" s="22">
        <v>1188000</v>
      </c>
      <c r="J48" s="25"/>
    </row>
    <row r="49" spans="5:10" ht="14.1" customHeight="1">
      <c r="E49" s="3" t="s">
        <v>27</v>
      </c>
      <c r="F49" s="4" t="s">
        <v>28</v>
      </c>
      <c r="G49" s="21">
        <v>1</v>
      </c>
      <c r="H49" s="22">
        <v>20000</v>
      </c>
      <c r="I49" s="22">
        <v>20000</v>
      </c>
      <c r="J49" s="25"/>
    </row>
    <row r="50" spans="5:10" ht="14.1" customHeight="1">
      <c r="E50" s="3" t="s">
        <v>20</v>
      </c>
      <c r="F50" s="3" t="s">
        <v>29</v>
      </c>
      <c r="G50" s="21">
        <v>1</v>
      </c>
      <c r="H50" s="22">
        <v>0</v>
      </c>
      <c r="I50" s="22">
        <v>0</v>
      </c>
      <c r="J50" s="25"/>
    </row>
    <row r="51" spans="5:10" ht="14.1" customHeight="1">
      <c r="E51" s="4"/>
      <c r="F51" s="4"/>
      <c r="G51" s="18" t="s">
        <v>8</v>
      </c>
      <c r="H51" s="21"/>
      <c r="I51" s="31">
        <f>SUM(I41:I50)</f>
        <v>2260000</v>
      </c>
      <c r="J51" s="26"/>
    </row>
    <row r="52" spans="5:10" ht="14.1" customHeight="1">
      <c r="E52" s="4"/>
      <c r="F52" s="4"/>
      <c r="G52" s="18" t="s">
        <v>57</v>
      </c>
      <c r="H52" s="21"/>
      <c r="I52" s="27">
        <v>3051000</v>
      </c>
      <c r="J52" s="9">
        <v>9153000</v>
      </c>
    </row>
    <row r="53" spans="5:10" ht="14.1" customHeight="1">
      <c r="E53" s="4"/>
      <c r="F53" s="4"/>
      <c r="G53" s="18" t="s">
        <v>9</v>
      </c>
      <c r="H53" s="21"/>
      <c r="I53" s="27"/>
      <c r="J53" s="9">
        <v>1647540</v>
      </c>
    </row>
    <row r="54" spans="5:10" ht="14.1" customHeight="1">
      <c r="E54" s="4"/>
      <c r="F54" s="4"/>
      <c r="G54" s="18" t="s">
        <v>7</v>
      </c>
      <c r="H54" s="21"/>
      <c r="I54" s="27"/>
      <c r="J54" s="9">
        <v>10800540</v>
      </c>
    </row>
    <row r="55" spans="5:10" ht="14.1" customHeight="1">
      <c r="G55"/>
      <c r="H55"/>
      <c r="I55"/>
    </row>
    <row r="57" spans="5:10" ht="14.1" customHeight="1">
      <c r="E57" s="10" t="s">
        <v>11</v>
      </c>
      <c r="F57" s="10"/>
      <c r="G57" s="12"/>
      <c r="H57" s="13"/>
      <c r="I57" s="14"/>
      <c r="J57" s="14"/>
    </row>
    <row r="58" spans="5:10" ht="14.1" customHeight="1">
      <c r="E58" s="15" t="s">
        <v>13</v>
      </c>
      <c r="F58" s="15"/>
      <c r="G58" s="14" t="s">
        <v>10</v>
      </c>
      <c r="H58" s="14"/>
      <c r="I58" s="14"/>
      <c r="J58" s="14"/>
    </row>
    <row r="59" spans="5:10" ht="14.1" customHeight="1">
      <c r="E59" s="19" t="s">
        <v>4</v>
      </c>
      <c r="F59" s="19" t="s">
        <v>5</v>
      </c>
      <c r="G59" s="18" t="s">
        <v>6</v>
      </c>
      <c r="H59" s="18" t="s">
        <v>12</v>
      </c>
      <c r="I59" s="18" t="s">
        <v>7</v>
      </c>
      <c r="J59" s="18" t="s">
        <v>43</v>
      </c>
    </row>
    <row r="60" spans="5:10" ht="14.1" customHeight="1">
      <c r="E60" s="3" t="s">
        <v>14</v>
      </c>
      <c r="F60" s="20" t="s">
        <v>48</v>
      </c>
      <c r="G60" s="21">
        <v>1</v>
      </c>
      <c r="H60" s="22">
        <v>200000</v>
      </c>
      <c r="I60" s="22">
        <v>350000</v>
      </c>
      <c r="J60" s="23">
        <v>3</v>
      </c>
    </row>
    <row r="61" spans="5:10" ht="14.1" customHeight="1">
      <c r="E61" s="3" t="s">
        <v>0</v>
      </c>
      <c r="F61" s="24" t="s">
        <v>49</v>
      </c>
      <c r="G61" s="21">
        <v>1</v>
      </c>
      <c r="H61" s="22">
        <v>75000</v>
      </c>
      <c r="I61" s="22">
        <v>75000</v>
      </c>
      <c r="J61" s="25"/>
    </row>
    <row r="62" spans="5:10" ht="14.1" customHeight="1">
      <c r="E62" s="3" t="s">
        <v>1</v>
      </c>
      <c r="F62" s="3" t="s">
        <v>50</v>
      </c>
      <c r="G62" s="21">
        <v>1</v>
      </c>
      <c r="H62" s="22">
        <v>150000</v>
      </c>
      <c r="I62" s="22">
        <v>350000</v>
      </c>
      <c r="J62" s="25"/>
    </row>
    <row r="63" spans="5:10" ht="14.1" customHeight="1">
      <c r="E63" s="3" t="s">
        <v>2</v>
      </c>
      <c r="F63" s="4" t="s">
        <v>58</v>
      </c>
      <c r="G63" s="21">
        <v>1</v>
      </c>
      <c r="H63" s="22">
        <v>6500</v>
      </c>
      <c r="I63" s="22">
        <v>7000</v>
      </c>
      <c r="J63" s="25"/>
    </row>
    <row r="64" spans="5:10" ht="14.1" customHeight="1">
      <c r="E64" s="3" t="s">
        <v>3</v>
      </c>
      <c r="F64" s="3" t="s">
        <v>51</v>
      </c>
      <c r="G64" s="21">
        <v>1</v>
      </c>
      <c r="H64" s="22">
        <v>15000</v>
      </c>
      <c r="I64" s="22">
        <v>15000</v>
      </c>
      <c r="J64" s="25"/>
    </row>
    <row r="65" spans="5:12" ht="14.1" customHeight="1">
      <c r="E65" s="3" t="s">
        <v>21</v>
      </c>
      <c r="F65" s="3" t="s">
        <v>54</v>
      </c>
      <c r="G65" s="21">
        <v>1</v>
      </c>
      <c r="H65" s="22">
        <v>190000</v>
      </c>
      <c r="I65" s="22">
        <v>200000</v>
      </c>
      <c r="J65" s="25"/>
    </row>
    <row r="66" spans="5:12" ht="14.1" customHeight="1">
      <c r="E66" s="3" t="s">
        <v>16</v>
      </c>
      <c r="F66" s="4" t="s">
        <v>53</v>
      </c>
      <c r="G66" s="21">
        <v>2</v>
      </c>
      <c r="H66" s="22">
        <v>25000</v>
      </c>
      <c r="I66" s="22">
        <v>55000</v>
      </c>
      <c r="J66" s="25"/>
    </row>
    <row r="67" spans="5:12" ht="14.1" customHeight="1">
      <c r="E67" s="3" t="s">
        <v>19</v>
      </c>
      <c r="F67" s="3" t="s">
        <v>59</v>
      </c>
      <c r="G67" s="21">
        <v>19</v>
      </c>
      <c r="H67" s="22">
        <v>85000</v>
      </c>
      <c r="I67" s="22">
        <v>1615000</v>
      </c>
      <c r="J67" s="25"/>
    </row>
    <row r="68" spans="5:12" ht="14.1" customHeight="1">
      <c r="E68" s="3" t="s">
        <v>27</v>
      </c>
      <c r="F68" s="4" t="s">
        <v>28</v>
      </c>
      <c r="G68" s="21">
        <v>1</v>
      </c>
      <c r="H68" s="22">
        <v>20000</v>
      </c>
      <c r="I68" s="22">
        <v>20000</v>
      </c>
      <c r="J68" s="25"/>
    </row>
    <row r="69" spans="5:12" ht="14.1" customHeight="1">
      <c r="E69" s="3" t="s">
        <v>20</v>
      </c>
      <c r="F69" s="3" t="s">
        <v>29</v>
      </c>
      <c r="G69" s="21">
        <v>1</v>
      </c>
      <c r="H69" s="22">
        <v>0</v>
      </c>
      <c r="I69" s="22">
        <v>0</v>
      </c>
      <c r="J69" s="25"/>
    </row>
    <row r="70" spans="5:12" ht="14.1" customHeight="1">
      <c r="E70" s="4"/>
      <c r="F70" s="4"/>
      <c r="G70" s="18" t="s">
        <v>8</v>
      </c>
      <c r="H70" s="21"/>
      <c r="I70" s="27">
        <f>SUM(I60:I69)</f>
        <v>2687000</v>
      </c>
      <c r="J70" s="26"/>
    </row>
    <row r="71" spans="5:12" ht="14.1" customHeight="1">
      <c r="E71" s="4"/>
      <c r="F71" s="4"/>
      <c r="G71" s="18" t="s">
        <v>57</v>
      </c>
      <c r="H71" s="21"/>
      <c r="I71" s="27">
        <v>3627450</v>
      </c>
      <c r="J71" s="27">
        <v>10882350</v>
      </c>
    </row>
    <row r="72" spans="5:12" ht="14.1" customHeight="1">
      <c r="E72" s="4"/>
      <c r="F72" s="4"/>
      <c r="G72" s="18" t="s">
        <v>9</v>
      </c>
      <c r="H72" s="21"/>
      <c r="I72" s="27"/>
      <c r="J72" s="27">
        <v>1958823</v>
      </c>
    </row>
    <row r="73" spans="5:12" ht="14.1" customHeight="1">
      <c r="E73" s="4"/>
      <c r="F73" s="4"/>
      <c r="G73" s="18" t="s">
        <v>7</v>
      </c>
      <c r="H73" s="21"/>
      <c r="I73" s="27"/>
      <c r="J73" s="27">
        <v>12841173</v>
      </c>
    </row>
    <row r="76" spans="5:12" ht="14.1" customHeight="1">
      <c r="E76" s="10" t="s">
        <v>11</v>
      </c>
      <c r="F76" s="10"/>
      <c r="G76" s="12"/>
      <c r="H76" s="13"/>
      <c r="I76" s="14"/>
      <c r="J76" s="14"/>
    </row>
    <row r="77" spans="5:12" ht="14.1" customHeight="1">
      <c r="E77" s="15" t="s">
        <v>13</v>
      </c>
      <c r="F77" s="15"/>
      <c r="G77" s="14" t="s">
        <v>10</v>
      </c>
      <c r="H77" s="14"/>
      <c r="I77" s="14"/>
      <c r="J77" s="14"/>
    </row>
    <row r="78" spans="5:12" ht="14.1" customHeight="1">
      <c r="E78" s="19" t="s">
        <v>4</v>
      </c>
      <c r="F78" s="19" t="s">
        <v>5</v>
      </c>
      <c r="G78" s="18" t="s">
        <v>6</v>
      </c>
      <c r="H78" s="18" t="s">
        <v>12</v>
      </c>
      <c r="I78" s="18" t="s">
        <v>7</v>
      </c>
      <c r="J78" s="18" t="s">
        <v>43</v>
      </c>
      <c r="L78">
        <v>250</v>
      </c>
    </row>
    <row r="79" spans="5:12" ht="14.1" customHeight="1">
      <c r="E79" s="3" t="s">
        <v>14</v>
      </c>
      <c r="F79" s="20" t="s">
        <v>48</v>
      </c>
      <c r="G79" s="21">
        <v>1</v>
      </c>
      <c r="H79" s="22">
        <v>200000</v>
      </c>
      <c r="I79" s="22">
        <v>350000</v>
      </c>
      <c r="J79" s="23">
        <v>3</v>
      </c>
      <c r="L79">
        <v>150</v>
      </c>
    </row>
    <row r="80" spans="5:12" ht="14.1" customHeight="1">
      <c r="E80" s="3" t="s">
        <v>0</v>
      </c>
      <c r="F80" s="24" t="s">
        <v>49</v>
      </c>
      <c r="G80" s="21">
        <v>1</v>
      </c>
      <c r="H80" s="22">
        <v>75000</v>
      </c>
      <c r="I80" s="22">
        <v>75000</v>
      </c>
      <c r="J80" s="25"/>
      <c r="L80">
        <v>100</v>
      </c>
    </row>
    <row r="81" spans="5:12" ht="14.1" customHeight="1">
      <c r="E81" s="3" t="s">
        <v>1</v>
      </c>
      <c r="F81" s="3" t="s">
        <v>50</v>
      </c>
      <c r="G81" s="21">
        <v>1</v>
      </c>
      <c r="H81" s="22">
        <v>150000</v>
      </c>
      <c r="I81" s="22">
        <v>350000</v>
      </c>
      <c r="J81" s="25"/>
      <c r="L81">
        <v>100</v>
      </c>
    </row>
    <row r="82" spans="5:12" ht="14.1" customHeight="1">
      <c r="E82" s="3" t="s">
        <v>2</v>
      </c>
      <c r="F82" s="4" t="s">
        <v>58</v>
      </c>
      <c r="G82" s="21">
        <v>1</v>
      </c>
      <c r="H82" s="22">
        <v>6500</v>
      </c>
      <c r="I82" s="22">
        <v>7000</v>
      </c>
      <c r="J82" s="25"/>
    </row>
    <row r="83" spans="5:12" ht="14.1" customHeight="1">
      <c r="E83" s="3" t="s">
        <v>3</v>
      </c>
      <c r="F83" s="3" t="s">
        <v>51</v>
      </c>
      <c r="G83" s="21">
        <v>1</v>
      </c>
      <c r="H83" s="22">
        <v>15000</v>
      </c>
      <c r="I83" s="22">
        <v>15000</v>
      </c>
      <c r="J83" s="25"/>
    </row>
    <row r="84" spans="5:12" ht="14.1" customHeight="1">
      <c r="E84" s="3" t="s">
        <v>21</v>
      </c>
      <c r="F84" s="3" t="s">
        <v>54</v>
      </c>
      <c r="G84" s="21">
        <v>1</v>
      </c>
      <c r="H84" s="22">
        <v>190000</v>
      </c>
      <c r="I84" s="22">
        <v>200000</v>
      </c>
      <c r="J84" s="25"/>
    </row>
    <row r="85" spans="5:12" ht="14.1" customHeight="1">
      <c r="E85" s="3" t="s">
        <v>16</v>
      </c>
      <c r="F85" s="4" t="s">
        <v>53</v>
      </c>
      <c r="G85" s="21">
        <v>2</v>
      </c>
      <c r="H85" s="22">
        <v>25000</v>
      </c>
      <c r="I85" s="22">
        <v>55000</v>
      </c>
      <c r="J85" s="25"/>
    </row>
    <row r="86" spans="5:12" ht="14.1" customHeight="1">
      <c r="E86" s="3" t="s">
        <v>19</v>
      </c>
      <c r="F86" s="3" t="s">
        <v>60</v>
      </c>
      <c r="G86" s="21">
        <v>22</v>
      </c>
      <c r="H86" s="22">
        <v>69000</v>
      </c>
      <c r="I86" s="22">
        <v>1615000</v>
      </c>
      <c r="J86" s="25"/>
    </row>
    <row r="87" spans="5:12" ht="14.1" customHeight="1">
      <c r="E87" s="3" t="s">
        <v>27</v>
      </c>
      <c r="F87" s="4" t="s">
        <v>28</v>
      </c>
      <c r="G87" s="21">
        <v>1</v>
      </c>
      <c r="H87" s="22">
        <v>20000</v>
      </c>
      <c r="I87" s="22">
        <v>20000</v>
      </c>
      <c r="J87" s="25"/>
    </row>
    <row r="88" spans="5:12" ht="14.1" customHeight="1">
      <c r="E88" s="3" t="s">
        <v>20</v>
      </c>
      <c r="F88" s="3" t="s">
        <v>29</v>
      </c>
      <c r="G88" s="21">
        <v>1</v>
      </c>
      <c r="H88" s="22">
        <v>0</v>
      </c>
      <c r="I88" s="22">
        <v>0</v>
      </c>
      <c r="J88" s="25"/>
    </row>
    <row r="89" spans="5:12" ht="14.1" customHeight="1">
      <c r="E89" s="4"/>
      <c r="F89" s="4"/>
      <c r="G89" s="18" t="s">
        <v>8</v>
      </c>
      <c r="H89" s="21"/>
      <c r="I89" s="27">
        <f>SUM(I79:I88)</f>
        <v>2687000</v>
      </c>
      <c r="J89" s="26"/>
    </row>
    <row r="90" spans="5:12" ht="14.1" customHeight="1">
      <c r="E90" s="4"/>
      <c r="F90" s="4"/>
      <c r="G90" s="18" t="s">
        <v>57</v>
      </c>
      <c r="H90" s="21"/>
      <c r="I90" s="27">
        <v>3627450</v>
      </c>
      <c r="J90" s="27"/>
    </row>
    <row r="91" spans="5:12" ht="14.1" customHeight="1">
      <c r="E91" s="4"/>
      <c r="F91" s="4"/>
      <c r="G91" s="18" t="s">
        <v>9</v>
      </c>
      <c r="H91" s="21"/>
      <c r="I91" s="27"/>
      <c r="J91" s="27"/>
    </row>
    <row r="92" spans="5:12" ht="14.1" customHeight="1">
      <c r="E92" s="4"/>
      <c r="F92" s="4"/>
      <c r="G92" s="18" t="s">
        <v>7</v>
      </c>
      <c r="H92" s="21"/>
      <c r="I92" s="27"/>
      <c r="J92" s="27"/>
    </row>
  </sheetData>
  <mergeCells count="5">
    <mergeCell ref="J5:J13"/>
    <mergeCell ref="J22:J32"/>
    <mergeCell ref="J41:J51"/>
    <mergeCell ref="J60:J70"/>
    <mergeCell ref="J79:J8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ADMIN</cp:lastModifiedBy>
  <dcterms:created xsi:type="dcterms:W3CDTF">2026-01-29T14:32:49Z</dcterms:created>
  <dcterms:modified xsi:type="dcterms:W3CDTF">2026-08-06T15:06:41Z</dcterms:modified>
</cp:coreProperties>
</file>