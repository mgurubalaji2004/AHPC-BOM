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minimized="1"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E27" i="1"/>
  <c r="D27" i="1"/>
  <c r="E18" i="1" l="1"/>
</calcChain>
</file>

<file path=xl/sharedStrings.xml><?xml version="1.0" encoding="utf-8"?>
<sst xmlns="http://schemas.openxmlformats.org/spreadsheetml/2006/main" count="45" uniqueCount="45">
  <si>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</si>
  <si>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</si>
  <si>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</si>
  <si>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</si>
  <si>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</si>
  <si>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</si>
  <si>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</si>
  <si>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</si>
  <si>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</si>
  <si>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</si>
  <si>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</si>
  <si>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</si>
  <si>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</si>
  <si>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</si>
  <si>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</si>
  <si>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</si>
  <si>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</si>
  <si>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</si>
  <si>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</si>
  <si>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Margin(15%)</t>
  </si>
  <si>
    <t>GPU</t>
  </si>
  <si>
    <t>64GB DDR5 4800 ECC</t>
  </si>
  <si>
    <t>NVMe</t>
  </si>
  <si>
    <t>2200W Titanium Redundant PSU</t>
  </si>
  <si>
    <t xml:space="preserve">GPU Interconnect </t>
  </si>
  <si>
    <t>AMD EPYC 9454 (Cores 48, Base Freq 2.75, Max Freq 3.8GHz, Cache 256MB)</t>
  </si>
  <si>
    <t>J12</t>
  </si>
  <si>
    <t>960GB SATA SSD Raid 1</t>
  </si>
  <si>
    <t>Dual-port 100GbE CX-6</t>
  </si>
  <si>
    <t>Network</t>
  </si>
  <si>
    <t>7.68TB NVMe U.2 Enterprise SSD RAID 10</t>
  </si>
  <si>
    <t>NVIDIA H200 141GB</t>
  </si>
  <si>
    <t xml:space="preserve">Raid Controller </t>
  </si>
  <si>
    <t>9560-8i</t>
  </si>
  <si>
    <t>Raid Cables</t>
  </si>
  <si>
    <t>Raid connectors</t>
  </si>
  <si>
    <t>TPM</t>
  </si>
  <si>
    <t>TPM Module</t>
  </si>
  <si>
    <t xml:space="preserve">NVIDIA H200 NVLink Bridge </t>
  </si>
  <si>
    <t>4U Rackmountable Chassis asus ESC8000A-E13</t>
  </si>
  <si>
    <t>8GPU</t>
  </si>
  <si>
    <t>4GPU</t>
  </si>
  <si>
    <t>1GPU</t>
  </si>
  <si>
    <t>7.68tb U.2</t>
  </si>
  <si>
    <t>raid card 9560-8i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</si>
</sst>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 readingOrder="1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 wrapText="1"/>
    </xf>
    <xf numFmtId="4" fontId="5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 wrapText="1"/>
    </xf>
    <xf numFmtId="0" fontId="1" fillId="0" borderId="1" xfId="0" applyFont="1" applyBorder="1"/>
    <xf numFmtId="0" fontId="0" fillId="0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Font="1" applyFill="1" applyBorder="1" applyAlignment="1">
      <alignment horizontal="center" wrapText="1"/>
    </xf>
    <xf numFmtId="3" fontId="0" fillId="0" borderId="0" xfId="0" applyNumberFormat="1"/>
    <xf numFmtId="3" fontId="0" fillId="0" borderId="1" xfId="0" applyNumberFormat="1" applyBorder="1"/>
    <xf numFmtId="4" fontId="0" fillId="0" borderId="1" xfId="0" applyNumberFormat="1" applyBorder="1" applyAlignment="1">
      <alignment horizontal="right"/>
    </xf>
    <xf numFmtId="4" fontId="0" fillId="0" borderId="1" xfId="0" applyNumberFormat="1" applyBorder="1"/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zoomScale="119" zoomScaleNormal="160" workbookViewId="0">
      <selection activeCell="F28" sqref="F28"/>
    </sheetView>
  </sheetViews>
  <sheetFormatPr defaultRowHeight="15" x14ac:dyDescent="0.25"/>
  <cols>
    <col min="1" max="1" width="15.28515625" customWidth="1"/>
    <col min="2" max="2" width="47.42578125" customWidth="1"/>
    <col min="3" max="3" width="16.14062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8"/>
      <c r="E2" s="39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6" ht="17.25" customHeight="1" x14ac:dyDescent="0.25">
      <c r="A4" s="2" t="s">
        <v>7</v>
      </c>
      <c r="B4" s="14" t="s">
        <v>39</v>
      </c>
      <c r="C4" s="8">
        <v>1</v>
      </c>
      <c r="D4" s="15">
        <v>250000</v>
      </c>
      <c r="E4" s="18">
        <v>250000</v>
      </c>
      <c r="F4" s="3"/>
    </row>
    <row r="5" spans="1:6" x14ac:dyDescent="0.25">
      <c r="A5" s="2" t="s">
        <v>8</v>
      </c>
      <c r="B5" s="13"/>
      <c r="C5" s="17"/>
      <c r="D5" s="15"/>
      <c r="E5" s="18"/>
      <c r="F5" s="3"/>
    </row>
    <row r="6" spans="1:6" ht="30" x14ac:dyDescent="0.25">
      <c r="A6" s="2" t="s">
        <v>9</v>
      </c>
      <c r="B6" s="7" t="s">
        <v>25</v>
      </c>
      <c r="C6" s="17">
        <v>1</v>
      </c>
      <c r="D6" s="15">
        <v>180000</v>
      </c>
      <c r="E6" s="25">
        <v>190000</v>
      </c>
      <c r="F6" s="3"/>
    </row>
    <row r="7" spans="1:6" x14ac:dyDescent="0.25">
      <c r="A7" s="2" t="s">
        <v>10</v>
      </c>
      <c r="B7" s="9" t="s">
        <v>26</v>
      </c>
      <c r="C7" s="17">
        <v>1</v>
      </c>
      <c r="D7" s="15"/>
      <c r="E7" s="25"/>
      <c r="F7" s="3"/>
    </row>
    <row r="8" spans="1:6" x14ac:dyDescent="0.25">
      <c r="A8" s="2" t="s">
        <v>11</v>
      </c>
      <c r="B8" s="10" t="s">
        <v>21</v>
      </c>
      <c r="C8" s="27">
        <v>12</v>
      </c>
      <c r="D8" s="15"/>
      <c r="E8" s="25"/>
      <c r="F8" s="3"/>
    </row>
    <row r="9" spans="1:6" x14ac:dyDescent="0.25">
      <c r="A9" s="2" t="s">
        <v>12</v>
      </c>
      <c r="B9" s="30" t="s">
        <v>27</v>
      </c>
      <c r="C9" s="27">
        <v>2</v>
      </c>
      <c r="D9" s="15">
        <v>55000</v>
      </c>
      <c r="E9" s="25">
        <v>110000</v>
      </c>
      <c r="F9" s="3"/>
    </row>
    <row r="10" spans="1:6" x14ac:dyDescent="0.25">
      <c r="A10" s="2" t="s">
        <v>22</v>
      </c>
      <c r="B10" s="30" t="s">
        <v>30</v>
      </c>
      <c r="C10" s="27">
        <v>4</v>
      </c>
      <c r="D10" s="15">
        <v>260000</v>
      </c>
      <c r="E10" s="25">
        <v>1040000</v>
      </c>
      <c r="F10" s="3"/>
    </row>
    <row r="11" spans="1:6" x14ac:dyDescent="0.25">
      <c r="A11" s="2" t="s">
        <v>32</v>
      </c>
      <c r="B11" s="30" t="s">
        <v>33</v>
      </c>
      <c r="C11" s="29">
        <v>1</v>
      </c>
      <c r="D11" s="15">
        <v>99000</v>
      </c>
      <c r="E11" s="25">
        <v>100000</v>
      </c>
      <c r="F11" s="3"/>
    </row>
    <row r="12" spans="1:6" x14ac:dyDescent="0.25">
      <c r="A12" s="2" t="s">
        <v>34</v>
      </c>
      <c r="B12" s="30" t="s">
        <v>35</v>
      </c>
      <c r="C12" s="29">
        <v>1</v>
      </c>
      <c r="D12" s="15">
        <v>5000</v>
      </c>
      <c r="E12" s="25">
        <v>5000</v>
      </c>
      <c r="F12" s="3"/>
    </row>
    <row r="13" spans="1:6" x14ac:dyDescent="0.25">
      <c r="A13" s="2" t="s">
        <v>20</v>
      </c>
      <c r="B13" s="7" t="s">
        <v>31</v>
      </c>
      <c r="C13" s="17">
        <v>1</v>
      </c>
      <c r="D13" s="15">
        <v>2850000</v>
      </c>
      <c r="E13" s="23">
        <v>2850000</v>
      </c>
      <c r="F13" s="3"/>
    </row>
    <row r="14" spans="1:6" ht="30" x14ac:dyDescent="0.25">
      <c r="A14" s="31" t="s">
        <v>24</v>
      </c>
      <c r="B14" s="32" t="s">
        <v>38</v>
      </c>
      <c r="C14" s="33">
        <v>1</v>
      </c>
      <c r="D14" s="16">
        <v>5000</v>
      </c>
      <c r="E14" s="26">
        <v>5000</v>
      </c>
      <c r="F14" s="3"/>
    </row>
    <row r="15" spans="1:6" x14ac:dyDescent="0.25">
      <c r="A15" s="31" t="s">
        <v>29</v>
      </c>
      <c r="B15" s="32" t="s">
        <v>28</v>
      </c>
      <c r="C15" s="33">
        <v>1</v>
      </c>
      <c r="D15" s="16">
        <v>36000</v>
      </c>
      <c r="E15" s="26">
        <v>40000</v>
      </c>
      <c r="F15" s="3"/>
    </row>
    <row r="16" spans="1:6" x14ac:dyDescent="0.25">
      <c r="A16" s="2" t="s">
        <v>13</v>
      </c>
      <c r="B16" s="3" t="s">
        <v>23</v>
      </c>
      <c r="C16" s="17">
        <v>1</v>
      </c>
      <c r="D16" s="16">
        <v>0</v>
      </c>
      <c r="E16" s="26">
        <v>20000</v>
      </c>
      <c r="F16" s="3"/>
    </row>
    <row r="17" spans="1:6" ht="14.25" customHeight="1" x14ac:dyDescent="0.25">
      <c r="A17" s="2" t="s">
        <v>36</v>
      </c>
      <c r="B17" s="10" t="s">
        <v>37</v>
      </c>
      <c r="C17" s="17">
        <v>1</v>
      </c>
      <c r="D17" s="15">
        <v>5500</v>
      </c>
      <c r="E17" s="23">
        <v>15000</v>
      </c>
      <c r="F17" s="3"/>
    </row>
    <row r="18" spans="1:6" ht="16.149999999999999" customHeight="1" x14ac:dyDescent="0.25">
      <c r="A18" s="2"/>
      <c r="B18" s="11"/>
      <c r="C18" s="12" t="s">
        <v>18</v>
      </c>
      <c r="D18" s="19"/>
      <c r="E18" s="24">
        <f>SUM(E4:E17)</f>
        <v>4625000</v>
      </c>
      <c r="F18" s="3"/>
    </row>
    <row r="19" spans="1:6" ht="18" customHeight="1" x14ac:dyDescent="0.25">
      <c r="A19" s="2"/>
      <c r="B19" s="2"/>
      <c r="C19" s="12" t="s">
        <v>19</v>
      </c>
      <c r="D19" s="20"/>
      <c r="E19" s="28"/>
      <c r="F19" s="3"/>
    </row>
    <row r="20" spans="1:6" ht="15.75" x14ac:dyDescent="0.25">
      <c r="A20" s="2"/>
      <c r="B20" s="2"/>
      <c r="C20" s="6" t="s">
        <v>14</v>
      </c>
      <c r="D20" s="21"/>
      <c r="E20" s="22"/>
      <c r="F20" s="3"/>
    </row>
    <row r="21" spans="1:6" ht="15.75" x14ac:dyDescent="0.25">
      <c r="A21" s="2"/>
      <c r="B21" s="2"/>
      <c r="C21" s="6" t="s">
        <v>15</v>
      </c>
      <c r="D21" s="21"/>
      <c r="E21" s="22"/>
      <c r="F21" s="3"/>
    </row>
    <row r="23" spans="1:6" x14ac:dyDescent="0.25">
      <c r="C23" s="32" t="s">
        <v>42</v>
      </c>
      <c r="D23" s="32" t="s">
        <v>41</v>
      </c>
      <c r="E23" s="32" t="s">
        <v>40</v>
      </c>
    </row>
    <row r="24" spans="1:6" x14ac:dyDescent="0.25">
      <c r="C24" s="35">
        <v>11840000</v>
      </c>
      <c r="D24" s="35">
        <v>19340000</v>
      </c>
      <c r="E24" s="36">
        <v>29340000</v>
      </c>
    </row>
    <row r="25" spans="1:6" x14ac:dyDescent="0.25">
      <c r="B25" t="s">
        <v>43</v>
      </c>
      <c r="C25" s="25">
        <v>1040000</v>
      </c>
      <c r="D25" s="25">
        <v>1040000</v>
      </c>
      <c r="E25" s="25">
        <v>1040000</v>
      </c>
    </row>
    <row r="26" spans="1:6" x14ac:dyDescent="0.25">
      <c r="B26" t="s">
        <v>44</v>
      </c>
      <c r="C26" s="25">
        <v>190000</v>
      </c>
      <c r="D26" s="25">
        <v>190000</v>
      </c>
      <c r="E26" s="25">
        <v>190000</v>
      </c>
    </row>
    <row r="27" spans="1:6" x14ac:dyDescent="0.25">
      <c r="C27" s="35">
        <f>SUM(C24:C26)</f>
        <v>13070000</v>
      </c>
      <c r="D27" s="35">
        <f>SUM(D24:D26)</f>
        <v>20570000</v>
      </c>
      <c r="E27" s="37">
        <f>SUM(E24:E26)</f>
        <v>30570000</v>
      </c>
    </row>
    <row r="28" spans="1:6" x14ac:dyDescent="0.25">
      <c r="C28" s="36">
        <v>15030500</v>
      </c>
      <c r="D28" s="36">
        <v>23655500</v>
      </c>
      <c r="E28" s="34">
        <v>35155500</v>
      </c>
    </row>
    <row r="29" spans="1:6" x14ac:dyDescent="0.25">
      <c r="C29" s="36">
        <v>2705490</v>
      </c>
      <c r="D29" s="36">
        <v>4257990</v>
      </c>
      <c r="E29" s="34">
        <v>6327990</v>
      </c>
    </row>
    <row r="30" spans="1:6" x14ac:dyDescent="0.25">
      <c r="C30" s="36">
        <v>17735990</v>
      </c>
      <c r="D30" s="36">
        <v>27913490</v>
      </c>
      <c r="E30" s="34">
        <v>41483490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2026-08-03T05:59:19Z</dcterms:modified>
</cp:coreProperties>
</file>