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3420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" l="1"/>
  <c r="F45" i="1" s="1"/>
  <c r="F38" i="1"/>
  <c r="F36" i="1"/>
  <c r="F8" i="1"/>
  <c r="F15" i="1" s="1"/>
  <c r="F16" i="1" s="1"/>
  <c r="F17" i="1" l="1"/>
  <c r="F18" i="1" s="1"/>
  <c r="F19" i="1" s="1"/>
  <c r="F28" i="1"/>
  <c r="E36" i="1"/>
  <c r="F35" i="1" l="1"/>
  <c r="E28" i="1"/>
  <c r="E38" i="1" l="1"/>
  <c r="E35" i="1"/>
  <c r="F39" i="1" l="1"/>
  <c r="E39" i="1"/>
  <c r="E19" i="1" l="1"/>
  <c r="E8" i="1"/>
  <c r="E15" i="1" l="1"/>
  <c r="E16" i="1" l="1"/>
</calcChain>
</file>

<file path=xl/sharedStrings.xml><?xml version="1.0" encoding="utf-8"?>
<sst xmlns="http://schemas.openxmlformats.org/spreadsheetml/2006/main" count="65" uniqueCount="36">
  <si>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</si>
  <si>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</si>
  <si>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</si>
  <si>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</si>
  <si>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</si>
  <si>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</si>
  <si>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</si>
  <si>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</si>
  <si>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</si>
  <si>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</si>
  <si>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</si>
  <si>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</si>
  <si>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</si>
  <si>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</si>
  <si>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</si>
  <si>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</si>
  <si>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</si>
  <si>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</si>
  <si>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</si>
  <si>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Margin-15%</t>
  </si>
  <si>
    <t>From</t>
  </si>
  <si>
    <t>HDD</t>
  </si>
  <si>
    <t>32GB DDR4 3200MHz</t>
  </si>
  <si>
    <t xml:space="preserve">2TB Gen4 M.2 NVMe </t>
  </si>
  <si>
    <t>4TB SATA HDD</t>
  </si>
  <si>
    <t>GPU</t>
  </si>
  <si>
    <t xml:space="preserve">NVIDIA RTX PRO 4000 Blackwell 24GB </t>
  </si>
  <si>
    <t xml:space="preserve">AsRock WRX80 Creator </t>
  </si>
  <si>
    <t>Air Cooler</t>
  </si>
  <si>
    <t xml:space="preserve">Wired Keyboard and Mouse </t>
  </si>
  <si>
    <t>E-ATX Cabinet</t>
  </si>
  <si>
    <t>1000W ATX</t>
  </si>
  <si>
    <t>22 inch monitor</t>
  </si>
  <si>
    <t>AMD Ryzen Threadripper Pro 5975X (Cores, Base Freq, Max Freq , Cache)</t>
  </si>
  <si>
    <t>32GB DDR4 2666MHz</t>
  </si>
  <si>
    <t>AMD Ryzen™ Threadripper™ PRO 5995WX (64-Cores, Base Freq 2.7GHz, Max Freq 4.5GHz, Cache 256MB)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</si>
</sst>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34" zoomScale="115" zoomScaleNormal="115" workbookViewId="0">
      <selection activeCell="F43" sqref="F43:F4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8.710937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20</v>
      </c>
    </row>
    <row r="4" spans="1:6" ht="15.75" x14ac:dyDescent="0.25">
      <c r="A4" s="9" t="s">
        <v>7</v>
      </c>
      <c r="B4" s="10" t="s">
        <v>30</v>
      </c>
      <c r="C4" s="11">
        <v>1</v>
      </c>
      <c r="D4" s="12">
        <v>25000</v>
      </c>
      <c r="E4" s="13">
        <v>28000</v>
      </c>
      <c r="F4" s="13">
        <v>18000</v>
      </c>
    </row>
    <row r="5" spans="1:6" ht="15.75" x14ac:dyDescent="0.25">
      <c r="A5" s="9" t="s">
        <v>8</v>
      </c>
      <c r="B5" s="29" t="s">
        <v>27</v>
      </c>
      <c r="C5" s="11">
        <v>1</v>
      </c>
      <c r="D5" s="12">
        <v>62000</v>
      </c>
      <c r="E5" s="13">
        <v>62000</v>
      </c>
      <c r="F5" s="13">
        <v>62000</v>
      </c>
    </row>
    <row r="6" spans="1:6" ht="31.5" x14ac:dyDescent="0.25">
      <c r="A6" s="9" t="s">
        <v>9</v>
      </c>
      <c r="B6" s="29" t="s">
        <v>33</v>
      </c>
      <c r="C6" s="11">
        <v>1</v>
      </c>
      <c r="D6" s="12">
        <v>163000</v>
      </c>
      <c r="E6" s="16">
        <v>163000</v>
      </c>
      <c r="F6" s="16">
        <v>189000</v>
      </c>
    </row>
    <row r="7" spans="1:6" ht="15.75" x14ac:dyDescent="0.25">
      <c r="A7" s="9" t="s">
        <v>10</v>
      </c>
      <c r="B7" s="17" t="s">
        <v>28</v>
      </c>
      <c r="C7" s="11">
        <v>1</v>
      </c>
      <c r="D7" s="12">
        <v>7500</v>
      </c>
      <c r="E7" s="16">
        <v>7500</v>
      </c>
      <c r="F7" s="16">
        <v>7500</v>
      </c>
    </row>
    <row r="8" spans="1:6" ht="15.75" x14ac:dyDescent="0.25">
      <c r="A8" s="9" t="s">
        <v>11</v>
      </c>
      <c r="B8" s="18" t="s">
        <v>34</v>
      </c>
      <c r="C8" s="11">
        <v>8</v>
      </c>
      <c r="D8" s="12">
        <v>30000</v>
      </c>
      <c r="E8" s="16">
        <f>D8*8</f>
        <v>240000</v>
      </c>
      <c r="F8" s="16">
        <f>E8*1</f>
        <v>240000</v>
      </c>
    </row>
    <row r="9" spans="1:6" ht="15.75" x14ac:dyDescent="0.25">
      <c r="A9" s="9" t="s">
        <v>12</v>
      </c>
      <c r="B9" s="15" t="s">
        <v>23</v>
      </c>
      <c r="C9" s="11">
        <v>1</v>
      </c>
      <c r="D9" s="12">
        <v>26500</v>
      </c>
      <c r="E9" s="16">
        <v>26500</v>
      </c>
      <c r="F9" s="16">
        <v>26500</v>
      </c>
    </row>
    <row r="10" spans="1:6" ht="15.75" x14ac:dyDescent="0.25">
      <c r="A10" s="9" t="s">
        <v>21</v>
      </c>
      <c r="B10" s="15" t="s">
        <v>24</v>
      </c>
      <c r="C10" s="11">
        <v>1</v>
      </c>
      <c r="D10" s="12">
        <v>30000</v>
      </c>
      <c r="E10" s="16">
        <v>30000</v>
      </c>
      <c r="F10" s="16">
        <v>30000</v>
      </c>
    </row>
    <row r="11" spans="1:6" ht="15.75" x14ac:dyDescent="0.25">
      <c r="A11" s="9" t="s">
        <v>13</v>
      </c>
      <c r="B11" s="15" t="s">
        <v>31</v>
      </c>
      <c r="C11" s="11">
        <v>1</v>
      </c>
      <c r="D11" s="12">
        <v>10000</v>
      </c>
      <c r="E11" s="19">
        <v>10000</v>
      </c>
      <c r="F11" s="19">
        <v>10000</v>
      </c>
    </row>
    <row r="12" spans="1:6" ht="15.75" x14ac:dyDescent="0.25">
      <c r="A12" s="9" t="s">
        <v>25</v>
      </c>
      <c r="B12" s="14" t="s">
        <v>26</v>
      </c>
      <c r="C12" s="11">
        <v>1</v>
      </c>
      <c r="D12" s="20">
        <v>240000</v>
      </c>
      <c r="E12" s="21">
        <v>240000</v>
      </c>
      <c r="F12" s="21">
        <v>300000</v>
      </c>
    </row>
    <row r="13" spans="1:6" ht="14.25" customHeight="1" x14ac:dyDescent="0.25">
      <c r="A13" s="9" t="s">
        <v>18</v>
      </c>
      <c r="B13" s="18" t="s">
        <v>32</v>
      </c>
      <c r="C13" s="11">
        <v>1</v>
      </c>
      <c r="D13" s="12">
        <v>9500</v>
      </c>
      <c r="E13" s="19">
        <v>9500</v>
      </c>
      <c r="F13" s="19">
        <v>9500</v>
      </c>
    </row>
    <row r="14" spans="1:6" ht="14.25" customHeight="1" x14ac:dyDescent="0.25">
      <c r="A14" s="9"/>
      <c r="B14" s="18" t="s">
        <v>29</v>
      </c>
      <c r="C14" s="11">
        <v>1</v>
      </c>
      <c r="D14" s="12">
        <v>1500</v>
      </c>
      <c r="E14" s="19">
        <v>1500</v>
      </c>
      <c r="F14" s="19">
        <v>1500</v>
      </c>
    </row>
    <row r="15" spans="1:6" ht="16.149999999999999" customHeight="1" x14ac:dyDescent="0.25">
      <c r="A15" s="9"/>
      <c r="B15" s="22"/>
      <c r="C15" s="23" t="s">
        <v>17</v>
      </c>
      <c r="D15" s="24"/>
      <c r="E15" s="8">
        <f>SUM(E4:E14)</f>
        <v>818000</v>
      </c>
      <c r="F15" s="8">
        <f>SUM(F4:F14)</f>
        <v>894000</v>
      </c>
    </row>
    <row r="16" spans="1:6" ht="16.149999999999999" customHeight="1" x14ac:dyDescent="0.25">
      <c r="A16" s="9"/>
      <c r="B16" s="22"/>
      <c r="C16" s="28">
        <v>0.15</v>
      </c>
      <c r="D16" s="24"/>
      <c r="E16" s="8">
        <f>E15*15%</f>
        <v>122700</v>
      </c>
      <c r="F16" s="8">
        <f>F15*15%</f>
        <v>134100</v>
      </c>
    </row>
    <row r="17" spans="1:6" ht="18" customHeight="1" x14ac:dyDescent="0.25">
      <c r="A17" s="9"/>
      <c r="B17" s="9"/>
      <c r="C17" s="23" t="s">
        <v>19</v>
      </c>
      <c r="D17" s="25"/>
      <c r="E17" s="8">
        <v>940677.97</v>
      </c>
      <c r="F17" s="8">
        <f>SUM(F15:F16)</f>
        <v>1028100</v>
      </c>
    </row>
    <row r="18" spans="1:6" ht="15.75" x14ac:dyDescent="0.25">
      <c r="A18" s="9"/>
      <c r="B18" s="9"/>
      <c r="C18" s="26" t="s">
        <v>14</v>
      </c>
      <c r="D18" s="27"/>
      <c r="E18" s="7">
        <v>169322.03</v>
      </c>
      <c r="F18" s="7">
        <f>F17*18%</f>
        <v>185058</v>
      </c>
    </row>
    <row r="19" spans="1:6" ht="15.75" x14ac:dyDescent="0.25">
      <c r="A19" s="9"/>
      <c r="B19" s="9"/>
      <c r="C19" s="26" t="s">
        <v>15</v>
      </c>
      <c r="D19" s="27"/>
      <c r="E19" s="7">
        <f>SUM(E17:E18)</f>
        <v>1110000</v>
      </c>
      <c r="F19" s="7">
        <f>SUM(F17:F18)</f>
        <v>1213158</v>
      </c>
    </row>
    <row r="23" spans="1:6" x14ac:dyDescent="0.25">
      <c r="A23" s="6" t="s">
        <v>3</v>
      </c>
      <c r="B23" s="6" t="s">
        <v>4</v>
      </c>
      <c r="C23" s="6" t="s">
        <v>5</v>
      </c>
      <c r="D23" s="6" t="s">
        <v>16</v>
      </c>
      <c r="E23" s="6" t="s">
        <v>6</v>
      </c>
      <c r="F23" s="6" t="s">
        <v>20</v>
      </c>
    </row>
    <row r="24" spans="1:6" ht="15.75" x14ac:dyDescent="0.25">
      <c r="A24" s="9" t="s">
        <v>7</v>
      </c>
      <c r="B24" s="10" t="s">
        <v>30</v>
      </c>
      <c r="C24" s="11">
        <v>1</v>
      </c>
      <c r="D24" s="12">
        <v>25000</v>
      </c>
      <c r="E24" s="13">
        <v>28000</v>
      </c>
      <c r="F24" s="13">
        <v>18000</v>
      </c>
    </row>
    <row r="25" spans="1:6" ht="15.75" x14ac:dyDescent="0.25">
      <c r="A25" s="9" t="s">
        <v>8</v>
      </c>
      <c r="B25" s="29" t="s">
        <v>27</v>
      </c>
      <c r="C25" s="11">
        <v>1</v>
      </c>
      <c r="D25" s="12">
        <v>62000</v>
      </c>
      <c r="E25" s="13">
        <v>62000</v>
      </c>
      <c r="F25" s="13">
        <v>62000</v>
      </c>
    </row>
    <row r="26" spans="1:6" ht="47.25" x14ac:dyDescent="0.25">
      <c r="A26" s="9" t="s">
        <v>9</v>
      </c>
      <c r="B26" s="10" t="s">
        <v>35</v>
      </c>
      <c r="C26" s="11">
        <v>1</v>
      </c>
      <c r="D26" s="12">
        <v>285000</v>
      </c>
      <c r="E26" s="16">
        <v>285000</v>
      </c>
      <c r="F26" s="16">
        <v>299000</v>
      </c>
    </row>
    <row r="27" spans="1:6" ht="15.75" x14ac:dyDescent="0.25">
      <c r="A27" s="9" t="s">
        <v>10</v>
      </c>
      <c r="B27" s="17" t="s">
        <v>28</v>
      </c>
      <c r="C27" s="11">
        <v>1</v>
      </c>
      <c r="D27" s="12">
        <v>7500</v>
      </c>
      <c r="E27" s="16">
        <v>7500</v>
      </c>
      <c r="F27" s="16">
        <v>7500</v>
      </c>
    </row>
    <row r="28" spans="1:6" ht="15.75" x14ac:dyDescent="0.25">
      <c r="A28" s="9" t="s">
        <v>11</v>
      </c>
      <c r="B28" s="18" t="s">
        <v>22</v>
      </c>
      <c r="C28" s="11">
        <v>4</v>
      </c>
      <c r="D28" s="12">
        <v>30000</v>
      </c>
      <c r="E28" s="16">
        <f>D28*4</f>
        <v>120000</v>
      </c>
      <c r="F28" s="16">
        <f>E28*1</f>
        <v>120000</v>
      </c>
    </row>
    <row r="29" spans="1:6" ht="15.75" x14ac:dyDescent="0.25">
      <c r="A29" s="9" t="s">
        <v>12</v>
      </c>
      <c r="B29" s="15" t="s">
        <v>23</v>
      </c>
      <c r="C29" s="11">
        <v>1</v>
      </c>
      <c r="D29" s="12">
        <v>26500</v>
      </c>
      <c r="E29" s="16">
        <v>26500</v>
      </c>
      <c r="F29" s="16">
        <v>26500</v>
      </c>
    </row>
    <row r="30" spans="1:6" ht="15.75" x14ac:dyDescent="0.25">
      <c r="A30" s="9" t="s">
        <v>21</v>
      </c>
      <c r="B30" s="15" t="s">
        <v>24</v>
      </c>
      <c r="C30" s="11">
        <v>1</v>
      </c>
      <c r="D30" s="12">
        <v>14800</v>
      </c>
      <c r="E30" s="16">
        <v>15000</v>
      </c>
      <c r="F30" s="16">
        <v>15000</v>
      </c>
    </row>
    <row r="31" spans="1:6" ht="15.75" x14ac:dyDescent="0.25">
      <c r="A31" s="9" t="s">
        <v>13</v>
      </c>
      <c r="B31" s="15" t="s">
        <v>31</v>
      </c>
      <c r="C31" s="11">
        <v>1</v>
      </c>
      <c r="D31" s="12">
        <v>10000</v>
      </c>
      <c r="E31" s="19">
        <v>10000</v>
      </c>
      <c r="F31" s="19">
        <v>10000</v>
      </c>
    </row>
    <row r="32" spans="1:6" ht="15.75" x14ac:dyDescent="0.25">
      <c r="A32" s="9" t="s">
        <v>25</v>
      </c>
      <c r="B32" s="14" t="s">
        <v>26</v>
      </c>
      <c r="C32" s="11">
        <v>1</v>
      </c>
      <c r="D32" s="20">
        <v>240000</v>
      </c>
      <c r="E32" s="21">
        <v>240000</v>
      </c>
      <c r="F32" s="21">
        <v>300000</v>
      </c>
    </row>
    <row r="33" spans="1:6" ht="15.75" x14ac:dyDescent="0.25">
      <c r="A33" s="9" t="s">
        <v>18</v>
      </c>
      <c r="B33" s="18" t="s">
        <v>32</v>
      </c>
      <c r="C33" s="11">
        <v>1</v>
      </c>
      <c r="D33" s="12">
        <v>9500</v>
      </c>
      <c r="E33" s="19">
        <v>9500</v>
      </c>
      <c r="F33" s="19">
        <v>9500</v>
      </c>
    </row>
    <row r="34" spans="1:6" ht="15.75" x14ac:dyDescent="0.25">
      <c r="A34" s="9"/>
      <c r="B34" s="18" t="s">
        <v>29</v>
      </c>
      <c r="C34" s="11">
        <v>1</v>
      </c>
      <c r="D34" s="12">
        <v>1500</v>
      </c>
      <c r="E34" s="19">
        <v>1500</v>
      </c>
      <c r="F34" s="19">
        <v>1500</v>
      </c>
    </row>
    <row r="35" spans="1:6" ht="15.75" x14ac:dyDescent="0.25">
      <c r="A35" s="9"/>
      <c r="B35" s="22"/>
      <c r="C35" s="23" t="s">
        <v>17</v>
      </c>
      <c r="D35" s="24"/>
      <c r="E35" s="8">
        <f>SUM(E24:E34)</f>
        <v>805000</v>
      </c>
      <c r="F35" s="8">
        <f>SUM(F24:F34)</f>
        <v>869000</v>
      </c>
    </row>
    <row r="36" spans="1:6" ht="15.75" x14ac:dyDescent="0.25">
      <c r="A36" s="9"/>
      <c r="B36" s="22"/>
      <c r="C36" s="28">
        <v>0.15</v>
      </c>
      <c r="D36" s="24"/>
      <c r="E36" s="8">
        <f>E35*23%</f>
        <v>185150</v>
      </c>
      <c r="F36" s="8">
        <f>F35*16%</f>
        <v>139040</v>
      </c>
    </row>
    <row r="37" spans="1:6" ht="15.75" x14ac:dyDescent="0.25">
      <c r="A37" s="9"/>
      <c r="B37" s="9"/>
      <c r="C37" s="23" t="s">
        <v>19</v>
      </c>
      <c r="D37" s="25"/>
      <c r="E37" s="8">
        <v>995762.71</v>
      </c>
      <c r="F37" s="8">
        <v>1025423.73</v>
      </c>
    </row>
    <row r="38" spans="1:6" ht="15.75" x14ac:dyDescent="0.25">
      <c r="A38" s="9"/>
      <c r="B38" s="9"/>
      <c r="C38" s="26" t="s">
        <v>14</v>
      </c>
      <c r="D38" s="27"/>
      <c r="E38" s="7">
        <f>E37*18%</f>
        <v>179237.28779999999</v>
      </c>
      <c r="F38" s="7">
        <f>F37*18%</f>
        <v>184576.2714</v>
      </c>
    </row>
    <row r="39" spans="1:6" ht="15.75" x14ac:dyDescent="0.25">
      <c r="A39" s="9"/>
      <c r="B39" s="9"/>
      <c r="C39" s="26" t="s">
        <v>15</v>
      </c>
      <c r="D39" s="27"/>
      <c r="E39" s="7">
        <f>SUM(E37:E38)</f>
        <v>1174999.9978</v>
      </c>
      <c r="F39" s="7">
        <f>SUM(F37:F38)</f>
        <v>1210000.0014</v>
      </c>
    </row>
    <row r="43" spans="1:6" ht="15.75" x14ac:dyDescent="0.25">
      <c r="F43" s="8">
        <v>370000</v>
      </c>
    </row>
    <row r="44" spans="1:6" ht="15.75" x14ac:dyDescent="0.25">
      <c r="F44" s="7">
        <f>F43*18%</f>
        <v>66600</v>
      </c>
    </row>
    <row r="45" spans="1:6" ht="15.75" x14ac:dyDescent="0.25">
      <c r="F45" s="7">
        <f>SUM(F43:F44)</f>
        <v>436600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2026-09-24T18:30:05Z</dcterms:modified>
</cp:coreProperties>
</file>