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" l="1"/>
  <c r="E14" i="1" l="1"/>
</calcChain>
</file>

<file path=xl/sharedStrings.xml><?xml version="1.0" encoding="utf-8"?>
<sst xmlns="http://schemas.openxmlformats.org/spreadsheetml/2006/main" count="61" uniqueCount="46">
  <si>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</si>
  <si>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</si>
  <si>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</si>
  <si>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</si>
  <si>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</si>
  <si>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</si>
  <si>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</si>
  <si>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</si>
  <si>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</si>
  <si>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</si>
  <si>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</si>
  <si>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</si>
  <si>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</si>
  <si>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</si>
  <si>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</si>
  <si>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</si>
  <si>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 xml:space="preserve">indicate changes if any </t>
  </si>
  <si>
    <t>Unit Prize</t>
  </si>
  <si>
    <t>Sub Total</t>
  </si>
  <si>
    <t>Monitor</t>
  </si>
  <si>
    <t>keyboard Mouse</t>
  </si>
  <si>
    <t>Margin(15%)</t>
  </si>
  <si>
    <t>Intel i9-14900K (Cores 24, Base Freq 2.4GHz, Max Freq 4.4GHz, Cache 36MB)</t>
  </si>
  <si>
    <t xml:space="preserve">360mm Liquid Cooler </t>
  </si>
  <si>
    <t>Z790 D WIFI Intel® Z790 Express Chipset with 4 x DIMMs</t>
  </si>
  <si>
    <t>1000W ATX</t>
  </si>
  <si>
    <t xml:space="preserve">27 inches Monitor </t>
  </si>
  <si>
    <t>Keyboard &amp; Mouse Combo</t>
  </si>
  <si>
    <t xml:space="preserve">GPU </t>
  </si>
  <si>
    <t>TOTAL QTY</t>
  </si>
  <si>
    <t>Intel® Xeon® Gold 6326 Processor (16-Cores, Base Freq 2.90GHz, Max Freq 3.50GHz, Cache 24MB)</t>
  </si>
  <si>
    <t>MD72-HB2 Intel® C621A Chipset with 16 x DIMMs</t>
  </si>
  <si>
    <t>Dynatron N11</t>
  </si>
  <si>
    <t>64GB DDR4 3200MHz</t>
  </si>
  <si>
    <t>480GB SATA SSD</t>
  </si>
  <si>
    <t xml:space="preserve">NVMe </t>
  </si>
  <si>
    <t xml:space="preserve">7.68TB U.2 NVMe SSD </t>
  </si>
  <si>
    <t>1200W RPS</t>
  </si>
  <si>
    <t xml:space="preserve">2U 8Bays chassis NVMe supported </t>
  </si>
  <si>
    <t xml:space="preserve">Raid </t>
  </si>
  <si>
    <t>9560-8i</t>
  </si>
  <si>
    <t>Margin(16%)</t>
  </si>
  <si>
    <t>32GB DDR5 RAM Corsair</t>
  </si>
  <si>
    <t>PNY NVIDIA RTX 4500 Ada Generation 24GB</t>
  </si>
  <si>
    <t>tower chassis</t>
  </si>
  <si>
    <t>4TB NVMe 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</si>
</sst>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wrapText="1"/>
    </xf>
    <xf numFmtId="0" fontId="0" fillId="0" borderId="0" xfId="0" applyFont="1"/>
    <xf numFmtId="0" fontId="0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vertical="center" readingOrder="1"/>
    </xf>
    <xf numFmtId="4" fontId="0" fillId="0" borderId="1" xfId="0" applyNumberFormat="1" applyFont="1" applyBorder="1" applyAlignment="1">
      <alignment horizontal="center" wrapText="1"/>
    </xf>
    <xf numFmtId="4" fontId="0" fillId="0" borderId="1" xfId="0" applyNumberFormat="1" applyFont="1" applyBorder="1" applyAlignment="1">
      <alignment horizontal="center"/>
    </xf>
    <xf numFmtId="4" fontId="0" fillId="5" borderId="1" xfId="0" applyNumberFormat="1" applyFont="1" applyFill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right"/>
    </xf>
    <xf numFmtId="3" fontId="0" fillId="0" borderId="1" xfId="0" applyNumberFormat="1" applyFont="1" applyBorder="1" applyAlignment="1">
      <alignment horizontal="right" wrapText="1"/>
    </xf>
    <xf numFmtId="4" fontId="0" fillId="0" borderId="0" xfId="0" applyNumberFormat="1" applyAlignment="1">
      <alignment horizontal="right"/>
    </xf>
    <xf numFmtId="3" fontId="0" fillId="0" borderId="1" xfId="0" applyNumberFormat="1" applyFont="1" applyBorder="1" applyAlignment="1">
      <alignment horizontal="right" readingOrder="1"/>
    </xf>
    <xf numFmtId="3" fontId="0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center" wrapText="1"/>
    </xf>
    <xf numFmtId="4" fontId="5" fillId="0" borderId="1" xfId="0" applyNumberFormat="1" applyFont="1" applyBorder="1" applyAlignment="1">
      <alignment horizontal="right"/>
    </xf>
    <xf numFmtId="4" fontId="0" fillId="0" borderId="1" xfId="0" applyNumberFormat="1" applyBorder="1" applyAlignment="1">
      <alignment horizontal="right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zoomScale="119" zoomScaleNormal="160" workbookViewId="0">
      <selection activeCell="G16" sqref="G16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6" width="16.7109375" customWidth="1"/>
    <col min="7" max="7" width="5.28515625" customWidth="1"/>
    <col min="8" max="8" width="5" customWidth="1"/>
    <col min="9" max="10" width="4.140625" customWidth="1"/>
    <col min="11" max="11" width="4.42578125" customWidth="1"/>
    <col min="12" max="12" width="4.285156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9"/>
      <c r="E2" s="30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17</v>
      </c>
      <c r="E3" s="6" t="s">
        <v>6</v>
      </c>
      <c r="F3" s="6" t="s">
        <v>29</v>
      </c>
    </row>
    <row r="4" spans="1:6" x14ac:dyDescent="0.25">
      <c r="A4" s="2" t="s">
        <v>7</v>
      </c>
      <c r="B4" s="14" t="s">
        <v>44</v>
      </c>
      <c r="C4" s="8">
        <v>1</v>
      </c>
      <c r="D4" s="15">
        <v>10500</v>
      </c>
      <c r="E4" s="17">
        <v>10500</v>
      </c>
      <c r="F4" s="31">
        <v>4</v>
      </c>
    </row>
    <row r="5" spans="1:6" ht="30" x14ac:dyDescent="0.25">
      <c r="A5" s="2" t="s">
        <v>8</v>
      </c>
      <c r="B5" s="13" t="s">
        <v>24</v>
      </c>
      <c r="C5" s="26">
        <v>1</v>
      </c>
      <c r="D5" s="15">
        <v>22000</v>
      </c>
      <c r="E5" s="17">
        <v>23000</v>
      </c>
      <c r="F5" s="32"/>
    </row>
    <row r="6" spans="1:6" ht="30" x14ac:dyDescent="0.25">
      <c r="A6" s="2" t="s">
        <v>9</v>
      </c>
      <c r="B6" s="7" t="s">
        <v>22</v>
      </c>
      <c r="C6" s="26">
        <v>1</v>
      </c>
      <c r="D6" s="15">
        <v>45500</v>
      </c>
      <c r="E6" s="24">
        <v>46500</v>
      </c>
      <c r="F6" s="32"/>
    </row>
    <row r="7" spans="1:6" x14ac:dyDescent="0.25">
      <c r="A7" s="2" t="s">
        <v>10</v>
      </c>
      <c r="B7" s="9" t="s">
        <v>23</v>
      </c>
      <c r="C7" s="26">
        <v>1</v>
      </c>
      <c r="D7" s="15">
        <v>6500</v>
      </c>
      <c r="E7" s="24">
        <v>9500</v>
      </c>
      <c r="F7" s="32"/>
    </row>
    <row r="8" spans="1:6" x14ac:dyDescent="0.25">
      <c r="A8" s="2" t="s">
        <v>11</v>
      </c>
      <c r="B8" s="10" t="s">
        <v>42</v>
      </c>
      <c r="C8" s="26">
        <v>4</v>
      </c>
      <c r="D8" s="15">
        <v>45000</v>
      </c>
      <c r="E8" s="24">
        <v>180000</v>
      </c>
      <c r="F8" s="32"/>
    </row>
    <row r="9" spans="1:6" x14ac:dyDescent="0.25">
      <c r="A9" s="2" t="s">
        <v>12</v>
      </c>
      <c r="B9" s="7" t="s">
        <v>45</v>
      </c>
      <c r="C9" s="26">
        <v>1</v>
      </c>
      <c r="D9" s="15">
        <v>45000</v>
      </c>
      <c r="E9" s="24">
        <v>45000</v>
      </c>
      <c r="F9" s="32"/>
    </row>
    <row r="10" spans="1:6" x14ac:dyDescent="0.25">
      <c r="A10" s="2" t="s">
        <v>28</v>
      </c>
      <c r="B10" s="7" t="s">
        <v>43</v>
      </c>
      <c r="C10" s="26">
        <v>1</v>
      </c>
      <c r="D10" s="15">
        <v>106000</v>
      </c>
      <c r="E10" s="24">
        <v>106000</v>
      </c>
      <c r="F10" s="32"/>
    </row>
    <row r="11" spans="1:6" x14ac:dyDescent="0.25">
      <c r="A11" s="2" t="s">
        <v>13</v>
      </c>
      <c r="B11" s="7" t="s">
        <v>25</v>
      </c>
      <c r="C11" s="26">
        <v>1</v>
      </c>
      <c r="D11" s="15">
        <v>9600</v>
      </c>
      <c r="E11" s="22">
        <v>10000</v>
      </c>
      <c r="F11" s="32"/>
    </row>
    <row r="12" spans="1:6" x14ac:dyDescent="0.25">
      <c r="A12" s="2" t="s">
        <v>19</v>
      </c>
      <c r="B12" s="3" t="s">
        <v>26</v>
      </c>
      <c r="C12" s="26">
        <v>1</v>
      </c>
      <c r="D12" s="16">
        <v>7800</v>
      </c>
      <c r="E12" s="25">
        <v>7800</v>
      </c>
      <c r="F12" s="32"/>
    </row>
    <row r="13" spans="1:6" ht="14.25" customHeight="1" x14ac:dyDescent="0.25">
      <c r="A13" s="2" t="s">
        <v>20</v>
      </c>
      <c r="B13" s="10" t="s">
        <v>27</v>
      </c>
      <c r="C13" s="26">
        <v>1</v>
      </c>
      <c r="D13" s="15">
        <v>1000</v>
      </c>
      <c r="E13" s="22">
        <v>1000</v>
      </c>
      <c r="F13" s="33"/>
    </row>
    <row r="14" spans="1:6" ht="16.149999999999999" customHeight="1" x14ac:dyDescent="0.25">
      <c r="A14" s="2"/>
      <c r="B14" s="11"/>
      <c r="C14" s="12" t="s">
        <v>18</v>
      </c>
      <c r="D14" s="18"/>
      <c r="E14" s="28">
        <f>SUM(E4:E13)</f>
        <v>439300</v>
      </c>
      <c r="F14" s="28"/>
    </row>
    <row r="15" spans="1:6" ht="18" customHeight="1" x14ac:dyDescent="0.25">
      <c r="A15" s="2"/>
      <c r="B15" s="2"/>
      <c r="C15" s="12" t="s">
        <v>21</v>
      </c>
      <c r="D15" s="19"/>
      <c r="E15" s="27">
        <v>505195</v>
      </c>
      <c r="F15" s="27">
        <v>2020780</v>
      </c>
    </row>
    <row r="16" spans="1:6" ht="15.75" x14ac:dyDescent="0.25">
      <c r="A16" s="2"/>
      <c r="B16" s="2"/>
      <c r="C16" s="6" t="s">
        <v>14</v>
      </c>
      <c r="D16" s="20"/>
      <c r="E16" s="21"/>
      <c r="F16" s="28">
        <v>363740.4</v>
      </c>
    </row>
    <row r="17" spans="1:6" ht="15.75" x14ac:dyDescent="0.25">
      <c r="A17" s="2"/>
      <c r="B17" s="2"/>
      <c r="C17" s="6" t="s">
        <v>15</v>
      </c>
      <c r="D17" s="20"/>
      <c r="E17" s="21"/>
      <c r="F17" s="28">
        <v>2384520.4</v>
      </c>
    </row>
    <row r="20" spans="1:6" ht="30" x14ac:dyDescent="0.25">
      <c r="A20" s="6" t="s">
        <v>3</v>
      </c>
      <c r="B20" s="6" t="s">
        <v>4</v>
      </c>
      <c r="C20" s="6" t="s">
        <v>5</v>
      </c>
      <c r="D20" s="6" t="s">
        <v>17</v>
      </c>
      <c r="E20" s="6" t="s">
        <v>6</v>
      </c>
      <c r="F20" s="6" t="s">
        <v>16</v>
      </c>
    </row>
    <row r="21" spans="1:6" x14ac:dyDescent="0.25">
      <c r="A21" s="2" t="s">
        <v>7</v>
      </c>
      <c r="B21" s="14" t="s">
        <v>38</v>
      </c>
      <c r="C21" s="26">
        <v>1</v>
      </c>
      <c r="D21" s="15">
        <v>95000</v>
      </c>
      <c r="E21" s="17">
        <v>95000</v>
      </c>
      <c r="F21" s="3"/>
    </row>
    <row r="22" spans="1:6" x14ac:dyDescent="0.25">
      <c r="A22" s="2" t="s">
        <v>8</v>
      </c>
      <c r="B22" s="13" t="s">
        <v>31</v>
      </c>
      <c r="C22" s="26">
        <v>1</v>
      </c>
      <c r="D22" s="15">
        <v>100000</v>
      </c>
      <c r="E22" s="17">
        <v>100000</v>
      </c>
      <c r="F22" s="3"/>
    </row>
    <row r="23" spans="1:6" ht="30" x14ac:dyDescent="0.25">
      <c r="A23" s="2" t="s">
        <v>9</v>
      </c>
      <c r="B23" s="7" t="s">
        <v>30</v>
      </c>
      <c r="C23" s="26">
        <v>2</v>
      </c>
      <c r="D23" s="15">
        <v>200000</v>
      </c>
      <c r="E23" s="24">
        <v>400000</v>
      </c>
      <c r="F23" s="3"/>
    </row>
    <row r="24" spans="1:6" x14ac:dyDescent="0.25">
      <c r="A24" s="2" t="s">
        <v>10</v>
      </c>
      <c r="B24" s="9" t="s">
        <v>32</v>
      </c>
      <c r="C24" s="26">
        <v>2</v>
      </c>
      <c r="D24" s="15">
        <v>6000</v>
      </c>
      <c r="E24" s="24">
        <v>12000</v>
      </c>
      <c r="F24" s="3"/>
    </row>
    <row r="25" spans="1:6" x14ac:dyDescent="0.25">
      <c r="A25" s="2" t="s">
        <v>11</v>
      </c>
      <c r="B25" s="10" t="s">
        <v>33</v>
      </c>
      <c r="C25" s="26">
        <v>8</v>
      </c>
      <c r="D25" s="15">
        <v>95000</v>
      </c>
      <c r="E25" s="24">
        <v>760000</v>
      </c>
      <c r="F25" s="3"/>
    </row>
    <row r="26" spans="1:6" x14ac:dyDescent="0.25">
      <c r="A26" s="2" t="s">
        <v>12</v>
      </c>
      <c r="B26" s="7" t="s">
        <v>34</v>
      </c>
      <c r="C26" s="26">
        <v>2</v>
      </c>
      <c r="D26" s="15">
        <v>25000</v>
      </c>
      <c r="E26" s="24">
        <v>52000</v>
      </c>
      <c r="F26" s="3"/>
    </row>
    <row r="27" spans="1:6" x14ac:dyDescent="0.25">
      <c r="A27" s="2" t="s">
        <v>35</v>
      </c>
      <c r="B27" s="7" t="s">
        <v>36</v>
      </c>
      <c r="C27" s="26">
        <v>4</v>
      </c>
      <c r="D27" s="15">
        <v>260000</v>
      </c>
      <c r="E27" s="24">
        <v>1040000</v>
      </c>
      <c r="F27" s="3"/>
    </row>
    <row r="28" spans="1:6" x14ac:dyDescent="0.25">
      <c r="A28" s="2" t="s">
        <v>39</v>
      </c>
      <c r="B28" s="7" t="s">
        <v>40</v>
      </c>
      <c r="C28" s="26">
        <v>1</v>
      </c>
      <c r="D28" s="15">
        <v>100000</v>
      </c>
      <c r="E28" s="24">
        <v>100000</v>
      </c>
      <c r="F28" s="3"/>
    </row>
    <row r="29" spans="1:6" x14ac:dyDescent="0.25">
      <c r="A29" s="2" t="s">
        <v>13</v>
      </c>
      <c r="B29" s="7" t="s">
        <v>37</v>
      </c>
      <c r="C29" s="26">
        <v>1</v>
      </c>
      <c r="D29" s="15">
        <v>0</v>
      </c>
      <c r="E29" s="22">
        <v>25000</v>
      </c>
      <c r="F29" s="3"/>
    </row>
    <row r="30" spans="1:6" ht="15.75" x14ac:dyDescent="0.25">
      <c r="A30" s="2"/>
      <c r="B30" s="3"/>
      <c r="C30" s="26"/>
      <c r="D30" s="16"/>
      <c r="E30" s="25"/>
      <c r="F30" s="27">
        <v>25840</v>
      </c>
    </row>
    <row r="31" spans="1:6" ht="15.75" x14ac:dyDescent="0.25">
      <c r="A31" s="2"/>
      <c r="B31" s="10"/>
      <c r="C31" s="26"/>
      <c r="D31" s="15"/>
      <c r="E31" s="22"/>
      <c r="F31" s="27">
        <v>413440</v>
      </c>
    </row>
    <row r="32" spans="1:6" x14ac:dyDescent="0.25">
      <c r="A32" s="2"/>
      <c r="B32" s="11"/>
      <c r="C32" s="12" t="s">
        <v>18</v>
      </c>
      <c r="D32" s="18"/>
      <c r="E32" s="23">
        <f>SUM(E21:E31)</f>
        <v>2584000</v>
      </c>
      <c r="F32" s="3"/>
    </row>
    <row r="33" spans="1:6" ht="15.75" x14ac:dyDescent="0.25">
      <c r="A33" s="2"/>
      <c r="B33" s="2"/>
      <c r="C33" s="12" t="s">
        <v>41</v>
      </c>
      <c r="D33" s="19"/>
      <c r="E33" s="27">
        <v>2997440</v>
      </c>
      <c r="F33" s="27">
        <v>5994880</v>
      </c>
    </row>
    <row r="34" spans="1:6" ht="15.75" x14ac:dyDescent="0.25">
      <c r="A34" s="2"/>
      <c r="B34" s="2"/>
      <c r="C34" s="6" t="s">
        <v>14</v>
      </c>
      <c r="D34" s="20"/>
      <c r="E34" s="21"/>
      <c r="F34" s="27">
        <v>1079078.3999999999</v>
      </c>
    </row>
    <row r="35" spans="1:6" ht="15.75" x14ac:dyDescent="0.25">
      <c r="A35" s="2"/>
      <c r="B35" s="2"/>
      <c r="C35" s="6" t="s">
        <v>15</v>
      </c>
      <c r="D35" s="20"/>
      <c r="E35" s="21"/>
      <c r="F35" s="27">
        <v>7073958.4000000004</v>
      </c>
    </row>
  </sheetData>
  <mergeCells count="2">
    <mergeCell ref="D2:E2"/>
    <mergeCell ref="F4:F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2026-07-21T14:30:50Z</dcterms:modified>
</cp:coreProperties>
</file>