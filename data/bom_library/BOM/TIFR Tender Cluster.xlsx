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20490" windowHeight="823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" i="1" l="1"/>
  <c r="I50" i="1"/>
  <c r="I33" i="1"/>
  <c r="I15" i="1"/>
</calcChain>
</file>

<file path=xl/sharedStrings.xml><?xml version="1.0" encoding="utf-8"?>
<sst xmlns="http://schemas.openxmlformats.org/spreadsheetml/2006/main" count="172" uniqueCount="71">
  <si>
    <t>Motherboard</t>
  </si>
  <si>
    <t>CPU</t>
  </si>
  <si>
    <t>Heatsink</t>
  </si>
  <si>
    <t>Memory</t>
  </si>
  <si>
    <t>Components</t>
  </si>
  <si>
    <t>Model</t>
  </si>
  <si>
    <t>Quantity</t>
  </si>
  <si>
    <t>Total Price</t>
  </si>
  <si>
    <t>Sub total</t>
  </si>
  <si>
    <t>GST -18%</t>
  </si>
  <si>
    <t>Date</t>
  </si>
  <si>
    <t xml:space="preserve">Customer </t>
  </si>
  <si>
    <t>Unit Price</t>
  </si>
  <si>
    <t>Chassis</t>
  </si>
  <si>
    <t>PowerSupply</t>
  </si>
  <si>
    <t>Margin Price 15 %</t>
  </si>
  <si>
    <t>23/06/26</t>
  </si>
  <si>
    <t>TIFR Tender</t>
  </si>
  <si>
    <t xml:space="preserve">2U Rack Mountable 8 Bay </t>
  </si>
  <si>
    <t xml:space="preserve">Log in Node </t>
  </si>
  <si>
    <t>SATA SSD</t>
  </si>
  <si>
    <t>480GB SATA SSD</t>
  </si>
  <si>
    <t xml:space="preserve">Raid Controller </t>
  </si>
  <si>
    <t xml:space="preserve">Network </t>
  </si>
  <si>
    <t>Intel® Ethernet Network Adapter E810-2CQDA2</t>
  </si>
  <si>
    <t xml:space="preserve">DAC Cable </t>
  </si>
  <si>
    <t xml:space="preserve">Cable </t>
  </si>
  <si>
    <t>800W RPS</t>
  </si>
  <si>
    <t>Master Node</t>
  </si>
  <si>
    <t>LSI BROADCOM SAS HBA 9560-8i</t>
  </si>
  <si>
    <t>1.92TB SAS SATA SSD</t>
  </si>
  <si>
    <t xml:space="preserve">Total Quantity Price </t>
  </si>
  <si>
    <t>Unit Total Price</t>
  </si>
  <si>
    <t>Compute Node</t>
  </si>
  <si>
    <t xml:space="preserve">Storage </t>
  </si>
  <si>
    <t>DAC Cable 3M</t>
  </si>
  <si>
    <t>480 SSD Enterprise M.2</t>
  </si>
  <si>
    <t>M.2</t>
  </si>
  <si>
    <t>78BAY CHASSIS AIC JBOD</t>
  </si>
  <si>
    <t>SSD  SAS</t>
  </si>
  <si>
    <t>SAS HDD</t>
  </si>
  <si>
    <t>SSD SAS</t>
  </si>
  <si>
    <t>960GB SAS SSD</t>
  </si>
  <si>
    <t>PSU</t>
  </si>
  <si>
    <t>1600W PSU</t>
  </si>
  <si>
    <t>9600W-16e</t>
  </si>
  <si>
    <t>Raid Cables</t>
  </si>
  <si>
    <t xml:space="preserve">Raid cables </t>
  </si>
  <si>
    <t>Network</t>
  </si>
  <si>
    <t>12TB SAS HDD</t>
  </si>
  <si>
    <t>Intel® Ethernet Network Adapter E810-2CQDA2 100G</t>
  </si>
  <si>
    <t>1600W RPS</t>
  </si>
  <si>
    <t>480GB  SSD SATA</t>
  </si>
  <si>
    <t xml:space="preserve">Log in </t>
  </si>
  <si>
    <t xml:space="preserve">Master </t>
  </si>
  <si>
    <t>Storage</t>
  </si>
  <si>
    <t>Compute</t>
  </si>
  <si>
    <t>JBOD</t>
  </si>
  <si>
    <t>total</t>
  </si>
  <si>
    <t>Switch</t>
  </si>
  <si>
    <t>48×25G SFP28 &amp; 8×100G QSFP28 Spine Switch</t>
  </si>
  <si>
    <t>2U Rack mountable</t>
  </si>
  <si>
    <t>AMD EPYC™ 7343 (Cores 16, Base Freq 3.2GHz, Max Freq 3.9GHz, Cache 128MB)</t>
  </si>
  <si>
    <t>MZ32-AR0 AMD SoC Chipset with 16 x DIMMs Motherboard</t>
  </si>
  <si>
    <t>SP3 Heat sink</t>
  </si>
  <si>
    <t>64GB DDR4 3200Mhz</t>
  </si>
  <si>
    <t>32GB DDR4</t>
  </si>
  <si>
    <t>SP3 Heatsink</t>
  </si>
  <si>
    <t>MZ72-HB2 AMD SoC Chipset with 16 x DIMMs Motherboard</t>
  </si>
  <si>
    <t xml:space="preserve"> </t>
  </si>
  <si>
    <t>AMD EPYC™ 7763 (64-Cores, Base Freq 2.45GHz, Max Freq 3.5GHz, Cache 256MB)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</si>
</sst>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Roboto"/>
    </font>
    <font>
      <b/>
      <sz val="10"/>
      <color rgb="FF000000"/>
      <name val="Roboto"/>
    </font>
    <font>
      <sz val="9"/>
      <color rgb="FF000000"/>
      <name val="Roboto"/>
    </font>
    <font>
      <sz val="10"/>
      <color theme="1"/>
      <name val="Roboto"/>
    </font>
    <font>
      <sz val="11"/>
      <color theme="1"/>
      <name val="Roboto"/>
    </font>
    <font>
      <sz val="11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top"/>
    </xf>
  </cellStyleXfs>
  <cellXfs count="44">
    <xf numFmtId="0" fontId="0" fillId="0" borderId="0" xfId="0">
      <alignment vertical="top"/>
    </xf>
    <xf numFmtId="0" fontId="1" fillId="3" borderId="1" xfId="0" applyFont="1" applyFill="1" applyBorder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4" fontId="0" fillId="0" borderId="0" xfId="0" applyNumberFormat="1">
      <alignment vertical="top"/>
    </xf>
    <xf numFmtId="4" fontId="0" fillId="0" borderId="0" xfId="0" applyNumberFormat="1" applyAlignment="1">
      <alignment horizontal="center" vertical="center"/>
    </xf>
    <xf numFmtId="0" fontId="1" fillId="3" borderId="4" xfId="0" applyFont="1" applyFill="1" applyBorder="1">
      <alignment vertical="top"/>
    </xf>
    <xf numFmtId="4" fontId="0" fillId="0" borderId="0" xfId="0" applyNumberFormat="1" applyAlignment="1">
      <alignment horizontal="right" vertical="top"/>
    </xf>
    <xf numFmtId="0" fontId="2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/>
    </xf>
    <xf numFmtId="0" fontId="0" fillId="2" borderId="0" xfId="0" applyFill="1">
      <alignment vertical="top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>
      <alignment vertical="top"/>
    </xf>
    <xf numFmtId="0" fontId="0" fillId="4" borderId="1" xfId="0" applyFont="1" applyFill="1" applyBorder="1" applyAlignment="1">
      <alignment horizontal="center" vertical="top" wrapText="1"/>
    </xf>
    <xf numFmtId="0" fontId="0" fillId="3" borderId="2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center" vertical="top"/>
    </xf>
    <xf numFmtId="0" fontId="0" fillId="3" borderId="1" xfId="0" applyFont="1" applyFill="1" applyBorder="1">
      <alignment vertical="top"/>
    </xf>
    <xf numFmtId="0" fontId="0" fillId="3" borderId="5" xfId="0" applyFont="1" applyFill="1" applyBorder="1" applyAlignment="1">
      <alignment horizontal="center" vertical="top"/>
    </xf>
    <xf numFmtId="0" fontId="0" fillId="2" borderId="3" xfId="0" applyFont="1" applyFill="1" applyBorder="1">
      <alignment vertical="top"/>
    </xf>
    <xf numFmtId="0" fontId="0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0" fillId="0" borderId="2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top"/>
    </xf>
    <xf numFmtId="0" fontId="5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0" xfId="0" applyFont="1">
      <alignment vertical="top"/>
    </xf>
    <xf numFmtId="0" fontId="0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0" xfId="0" applyFont="1" applyFill="1">
      <alignment vertical="top"/>
    </xf>
    <xf numFmtId="0" fontId="5" fillId="2" borderId="1" xfId="0" applyFont="1" applyFill="1" applyBorder="1" applyAlignment="1">
      <alignment vertical="top" wrapText="1"/>
    </xf>
    <xf numFmtId="0" fontId="0" fillId="2" borderId="2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5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top"/>
    </xf>
    <xf numFmtId="4" fontId="0" fillId="0" borderId="1" xfId="0" applyNumberFormat="1" applyFont="1" applyBorder="1" applyAlignment="1">
      <alignment horizontal="center" vertical="top"/>
    </xf>
    <xf numFmtId="0" fontId="0" fillId="2" borderId="1" xfId="0" applyFont="1" applyFill="1" applyBorder="1" applyAlignment="1">
      <alignment horizontal="left" vertical="top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L89"/>
  <sheetViews>
    <sheetView tabSelected="1" topLeftCell="D37" zoomScale="115" zoomScaleNormal="115" workbookViewId="0">
      <selection activeCell="F48" sqref="F48"/>
    </sheetView>
  </sheetViews>
  <sheetFormatPr defaultRowHeight="14.1" customHeight="1"/>
  <cols>
    <col min="1" max="4" width="13.28515625"/>
    <col min="5" max="5" width="18.28515625" bestFit="1" customWidth="1"/>
    <col min="6" max="6" width="65.28515625" bestFit="1" customWidth="1"/>
    <col min="7" max="7" width="15.5703125" style="3" bestFit="1" customWidth="1"/>
    <col min="8" max="8" width="11.5703125" style="3" customWidth="1"/>
    <col min="9" max="9" width="13.5703125" customWidth="1"/>
    <col min="10" max="10" width="17.5703125" style="4" bestFit="1" customWidth="1"/>
    <col min="11" max="11" width="17.5703125" customWidth="1"/>
  </cols>
  <sheetData>
    <row r="2" spans="5:12" ht="14.1" customHeight="1">
      <c r="E2" s="1" t="s">
        <v>11</v>
      </c>
      <c r="F2" s="6" t="s">
        <v>17</v>
      </c>
      <c r="G2" s="13"/>
      <c r="H2" s="14"/>
      <c r="I2" s="15"/>
    </row>
    <row r="3" spans="5:12" ht="14.1" customHeight="1">
      <c r="E3" s="1"/>
      <c r="F3" s="9" t="s">
        <v>19</v>
      </c>
      <c r="G3" s="17" t="s">
        <v>10</v>
      </c>
      <c r="H3" s="15" t="s">
        <v>16</v>
      </c>
      <c r="I3" s="15"/>
    </row>
    <row r="4" spans="5:12" ht="14.1" customHeight="1">
      <c r="E4" s="18" t="s">
        <v>4</v>
      </c>
      <c r="F4" s="18" t="s">
        <v>5</v>
      </c>
      <c r="G4" s="19" t="s">
        <v>6</v>
      </c>
      <c r="H4" s="19" t="s">
        <v>12</v>
      </c>
      <c r="I4" s="19" t="s">
        <v>7</v>
      </c>
    </row>
    <row r="5" spans="5:12" ht="14.1" customHeight="1">
      <c r="E5" s="20" t="s">
        <v>13</v>
      </c>
      <c r="F5" s="11" t="s">
        <v>18</v>
      </c>
      <c r="G5" s="21">
        <v>1</v>
      </c>
      <c r="H5" s="22">
        <v>65000</v>
      </c>
      <c r="I5" s="22">
        <v>65000</v>
      </c>
      <c r="J5" s="5"/>
    </row>
    <row r="6" spans="5:12" ht="14.1" customHeight="1">
      <c r="E6" s="20" t="s">
        <v>0</v>
      </c>
      <c r="F6" s="12" t="s">
        <v>63</v>
      </c>
      <c r="G6" s="23">
        <v>1</v>
      </c>
      <c r="H6" s="22">
        <v>80000</v>
      </c>
      <c r="I6" s="22">
        <v>80000</v>
      </c>
      <c r="J6" s="5"/>
    </row>
    <row r="7" spans="5:12" ht="14.1" customHeight="1">
      <c r="E7" s="20" t="s">
        <v>1</v>
      </c>
      <c r="F7" s="11" t="s">
        <v>62</v>
      </c>
      <c r="G7" s="21">
        <v>1</v>
      </c>
      <c r="H7" s="22">
        <v>75000</v>
      </c>
      <c r="I7" s="22">
        <v>75000</v>
      </c>
      <c r="J7" s="5"/>
    </row>
    <row r="8" spans="5:12" ht="14.1" customHeight="1">
      <c r="E8" s="20" t="s">
        <v>2</v>
      </c>
      <c r="F8" s="24" t="s">
        <v>64</v>
      </c>
      <c r="G8" s="21">
        <v>1</v>
      </c>
      <c r="H8" s="22">
        <v>7000</v>
      </c>
      <c r="I8" s="22">
        <v>7000</v>
      </c>
      <c r="J8" s="5"/>
    </row>
    <row r="9" spans="5:12" ht="14.1" customHeight="1">
      <c r="E9" s="20" t="s">
        <v>3</v>
      </c>
      <c r="F9" s="25" t="s">
        <v>65</v>
      </c>
      <c r="G9" s="21">
        <v>6</v>
      </c>
      <c r="H9" s="22">
        <v>125000</v>
      </c>
      <c r="I9" s="26">
        <v>750000</v>
      </c>
      <c r="J9" s="5"/>
    </row>
    <row r="10" spans="5:12" ht="14.1" customHeight="1">
      <c r="E10" s="20" t="s">
        <v>20</v>
      </c>
      <c r="F10" s="11" t="s">
        <v>21</v>
      </c>
      <c r="G10" s="21">
        <v>2</v>
      </c>
      <c r="H10" s="22">
        <v>25000</v>
      </c>
      <c r="I10" s="22">
        <v>50000</v>
      </c>
      <c r="J10" s="5"/>
    </row>
    <row r="11" spans="5:12" ht="14.1" customHeight="1">
      <c r="E11" s="20" t="s">
        <v>22</v>
      </c>
      <c r="F11" s="11" t="s">
        <v>29</v>
      </c>
      <c r="G11" s="21">
        <v>1</v>
      </c>
      <c r="H11" s="26">
        <v>110000</v>
      </c>
      <c r="I11" s="26">
        <v>110000</v>
      </c>
      <c r="J11" s="5"/>
    </row>
    <row r="12" spans="5:12" ht="14.1" customHeight="1">
      <c r="E12" s="20" t="s">
        <v>23</v>
      </c>
      <c r="F12" s="11" t="s">
        <v>50</v>
      </c>
      <c r="G12" s="21">
        <v>1</v>
      </c>
      <c r="H12" s="26">
        <v>40000</v>
      </c>
      <c r="I12" s="26">
        <v>40000</v>
      </c>
      <c r="J12" s="5"/>
    </row>
    <row r="13" spans="5:12" ht="14.1" customHeight="1">
      <c r="E13" s="20" t="s">
        <v>26</v>
      </c>
      <c r="F13" s="11" t="s">
        <v>35</v>
      </c>
      <c r="G13" s="21">
        <v>1</v>
      </c>
      <c r="H13" s="26">
        <v>16000</v>
      </c>
      <c r="I13" s="26">
        <v>16000</v>
      </c>
      <c r="J13" s="5"/>
    </row>
    <row r="14" spans="5:12" ht="14.1" customHeight="1">
      <c r="E14" s="20" t="s">
        <v>14</v>
      </c>
      <c r="F14" s="11" t="s">
        <v>27</v>
      </c>
      <c r="G14" s="21">
        <v>1</v>
      </c>
      <c r="H14" s="22">
        <v>35000</v>
      </c>
      <c r="I14" s="22">
        <v>35000</v>
      </c>
      <c r="J14" s="5"/>
      <c r="K14" s="2">
        <v>2319113</v>
      </c>
      <c r="L14" t="s">
        <v>53</v>
      </c>
    </row>
    <row r="15" spans="5:12" ht="14.1" customHeight="1">
      <c r="E15" s="27"/>
      <c r="F15" s="27"/>
      <c r="G15" s="19" t="s">
        <v>8</v>
      </c>
      <c r="H15" s="23"/>
      <c r="I15" s="23">
        <f>SUM(I5:I14)</f>
        <v>1228000</v>
      </c>
      <c r="K15" s="2">
        <v>1437063</v>
      </c>
      <c r="L15" t="s">
        <v>54</v>
      </c>
    </row>
    <row r="16" spans="5:12" ht="14.1" customHeight="1">
      <c r="E16" s="27"/>
      <c r="F16" s="27"/>
      <c r="G16" s="19" t="s">
        <v>15</v>
      </c>
      <c r="H16" s="23"/>
      <c r="I16" s="41">
        <v>1449040</v>
      </c>
      <c r="J16" s="7"/>
      <c r="K16" s="2">
        <v>3718180</v>
      </c>
      <c r="L16" t="s">
        <v>55</v>
      </c>
    </row>
    <row r="17" spans="5:12" ht="14.1" customHeight="1">
      <c r="E17" s="27"/>
      <c r="F17" s="27"/>
      <c r="G17" s="19" t="s">
        <v>9</v>
      </c>
      <c r="H17" s="23"/>
      <c r="I17" s="42">
        <v>260827.2</v>
      </c>
      <c r="K17" s="2">
        <v>60617190</v>
      </c>
      <c r="L17" t="s">
        <v>56</v>
      </c>
    </row>
    <row r="18" spans="5:12" ht="14.1" customHeight="1">
      <c r="E18" s="27"/>
      <c r="F18" s="27"/>
      <c r="G18" s="19" t="s">
        <v>7</v>
      </c>
      <c r="H18" s="23"/>
      <c r="I18" s="42">
        <v>1709867.2</v>
      </c>
      <c r="K18" s="2">
        <v>10742012</v>
      </c>
      <c r="L18" t="s">
        <v>57</v>
      </c>
    </row>
    <row r="19" spans="5:12" ht="14.1" customHeight="1">
      <c r="K19">
        <v>78833558</v>
      </c>
      <c r="L19" t="s">
        <v>58</v>
      </c>
    </row>
    <row r="20" spans="5:12" ht="14.1" customHeight="1">
      <c r="E20" s="1" t="s">
        <v>11</v>
      </c>
      <c r="F20" s="6" t="s">
        <v>17</v>
      </c>
      <c r="G20" s="13"/>
      <c r="H20" s="14"/>
      <c r="I20" s="15"/>
      <c r="J20"/>
    </row>
    <row r="21" spans="5:12" ht="14.1" customHeight="1">
      <c r="E21" s="16"/>
      <c r="F21" s="9" t="s">
        <v>28</v>
      </c>
      <c r="G21" s="17" t="s">
        <v>10</v>
      </c>
      <c r="H21" s="15" t="s">
        <v>16</v>
      </c>
      <c r="I21" s="15"/>
      <c r="J21"/>
    </row>
    <row r="22" spans="5:12" ht="14.1" customHeight="1">
      <c r="E22" s="18" t="s">
        <v>4</v>
      </c>
      <c r="F22" s="18" t="s">
        <v>5</v>
      </c>
      <c r="G22" s="19" t="s">
        <v>6</v>
      </c>
      <c r="H22" s="19" t="s">
        <v>12</v>
      </c>
      <c r="I22" s="19" t="s">
        <v>7</v>
      </c>
      <c r="J22"/>
    </row>
    <row r="23" spans="5:12" ht="14.1" customHeight="1">
      <c r="E23" s="28" t="s">
        <v>13</v>
      </c>
      <c r="F23" s="29" t="s">
        <v>18</v>
      </c>
      <c r="G23" s="21">
        <v>1</v>
      </c>
      <c r="H23" s="22">
        <v>65000</v>
      </c>
      <c r="I23" s="22">
        <v>65000</v>
      </c>
      <c r="J23"/>
    </row>
    <row r="24" spans="5:12" ht="14.1" customHeight="1">
      <c r="E24" s="28" t="s">
        <v>0</v>
      </c>
      <c r="F24" s="12" t="s">
        <v>63</v>
      </c>
      <c r="G24" s="23">
        <v>1</v>
      </c>
      <c r="H24" s="22">
        <v>80000</v>
      </c>
      <c r="I24" s="22">
        <v>80000</v>
      </c>
      <c r="J24"/>
    </row>
    <row r="25" spans="5:12" ht="14.1" customHeight="1">
      <c r="E25" s="28" t="s">
        <v>1</v>
      </c>
      <c r="F25" s="11" t="s">
        <v>62</v>
      </c>
      <c r="G25" s="21">
        <v>1</v>
      </c>
      <c r="H25" s="22">
        <v>75000</v>
      </c>
      <c r="I25" s="22">
        <v>75000</v>
      </c>
      <c r="J25"/>
    </row>
    <row r="26" spans="5:12" ht="14.1" customHeight="1">
      <c r="E26" s="28" t="s">
        <v>2</v>
      </c>
      <c r="F26" s="24" t="s">
        <v>64</v>
      </c>
      <c r="G26" s="21">
        <v>1</v>
      </c>
      <c r="H26" s="22">
        <v>7000</v>
      </c>
      <c r="I26" s="22">
        <v>7000</v>
      </c>
      <c r="J26"/>
    </row>
    <row r="27" spans="5:12" ht="14.1" customHeight="1">
      <c r="E27" s="28" t="s">
        <v>3</v>
      </c>
      <c r="F27" s="32" t="s">
        <v>66</v>
      </c>
      <c r="G27" s="21">
        <v>4</v>
      </c>
      <c r="H27" s="22">
        <v>55000</v>
      </c>
      <c r="I27" s="26">
        <v>220000</v>
      </c>
      <c r="J27"/>
    </row>
    <row r="28" spans="5:12" ht="14.1" customHeight="1">
      <c r="E28" s="28" t="s">
        <v>20</v>
      </c>
      <c r="F28" s="29" t="s">
        <v>30</v>
      </c>
      <c r="G28" s="21">
        <v>2</v>
      </c>
      <c r="H28" s="22">
        <v>162000</v>
      </c>
      <c r="I28" s="22">
        <v>324000</v>
      </c>
      <c r="J28"/>
    </row>
    <row r="29" spans="5:12" ht="14.1" customHeight="1">
      <c r="E29" s="28" t="s">
        <v>22</v>
      </c>
      <c r="F29" s="29" t="s">
        <v>29</v>
      </c>
      <c r="G29" s="21">
        <v>1</v>
      </c>
      <c r="H29" s="26">
        <v>110000</v>
      </c>
      <c r="I29" s="26">
        <v>110000</v>
      </c>
      <c r="J29"/>
    </row>
    <row r="30" spans="5:12" ht="14.1" customHeight="1">
      <c r="E30" s="28" t="s">
        <v>23</v>
      </c>
      <c r="F30" s="29" t="s">
        <v>24</v>
      </c>
      <c r="G30" s="21">
        <v>1</v>
      </c>
      <c r="H30" s="26">
        <v>36000</v>
      </c>
      <c r="I30" s="26">
        <v>36000</v>
      </c>
      <c r="J30"/>
    </row>
    <row r="31" spans="5:12" ht="14.1" customHeight="1">
      <c r="E31" s="28" t="s">
        <v>26</v>
      </c>
      <c r="F31" s="29" t="s">
        <v>25</v>
      </c>
      <c r="G31" s="21">
        <v>1</v>
      </c>
      <c r="H31" s="26">
        <v>16000</v>
      </c>
      <c r="I31" s="26">
        <v>16000</v>
      </c>
      <c r="J31"/>
    </row>
    <row r="32" spans="5:12" ht="14.1" customHeight="1">
      <c r="E32" s="28" t="s">
        <v>14</v>
      </c>
      <c r="F32" s="29" t="s">
        <v>27</v>
      </c>
      <c r="G32" s="21">
        <v>1</v>
      </c>
      <c r="H32" s="22">
        <v>35000</v>
      </c>
      <c r="I32" s="22">
        <v>35000</v>
      </c>
      <c r="J32"/>
    </row>
    <row r="33" spans="4:11" ht="14.1" customHeight="1">
      <c r="E33" s="27"/>
      <c r="F33" s="27"/>
      <c r="G33" s="19" t="s">
        <v>8</v>
      </c>
      <c r="H33" s="23"/>
      <c r="I33" s="23">
        <f>SUM(I23:I32)</f>
        <v>968000</v>
      </c>
      <c r="J33"/>
    </row>
    <row r="34" spans="4:11" ht="14.1" customHeight="1">
      <c r="E34" s="27"/>
      <c r="F34" s="27"/>
      <c r="G34" s="19" t="s">
        <v>15</v>
      </c>
      <c r="H34" s="23"/>
      <c r="I34" s="41">
        <v>1142240</v>
      </c>
      <c r="J34"/>
    </row>
    <row r="35" spans="4:11" ht="14.1" customHeight="1">
      <c r="E35" s="27"/>
      <c r="F35" s="27"/>
      <c r="G35" s="19" t="s">
        <v>9</v>
      </c>
      <c r="H35" s="23"/>
      <c r="I35" s="42">
        <v>205603.20000000001</v>
      </c>
      <c r="J35"/>
    </row>
    <row r="36" spans="4:11" ht="14.1" customHeight="1">
      <c r="E36" s="27"/>
      <c r="F36" s="27"/>
      <c r="G36" s="19" t="s">
        <v>7</v>
      </c>
      <c r="H36" s="23"/>
      <c r="I36" s="42">
        <v>1347843.2</v>
      </c>
      <c r="J36"/>
    </row>
    <row r="37" spans="4:11" ht="14.1" customHeight="1">
      <c r="F37" s="4"/>
      <c r="G37"/>
      <c r="H37"/>
      <c r="J37"/>
    </row>
    <row r="38" spans="4:11" ht="14.1" customHeight="1">
      <c r="D38" s="30"/>
      <c r="E38" s="1" t="s">
        <v>11</v>
      </c>
      <c r="F38" s="6" t="s">
        <v>17</v>
      </c>
      <c r="G38" s="13"/>
      <c r="H38" s="14"/>
      <c r="I38" s="15"/>
      <c r="J38" s="15"/>
      <c r="K38" s="30"/>
    </row>
    <row r="39" spans="4:11" ht="14.1" customHeight="1">
      <c r="D39" s="30"/>
      <c r="E39" s="16"/>
      <c r="F39" s="9" t="s">
        <v>33</v>
      </c>
      <c r="G39" s="17" t="s">
        <v>10</v>
      </c>
      <c r="H39" s="15" t="s">
        <v>16</v>
      </c>
      <c r="I39" s="15"/>
      <c r="J39" s="15"/>
      <c r="K39" s="30"/>
    </row>
    <row r="40" spans="4:11" ht="14.1" customHeight="1">
      <c r="D40" s="30"/>
      <c r="E40" s="18" t="s">
        <v>4</v>
      </c>
      <c r="F40" s="18" t="s">
        <v>5</v>
      </c>
      <c r="G40" s="19" t="s">
        <v>6</v>
      </c>
      <c r="H40" s="19" t="s">
        <v>12</v>
      </c>
      <c r="I40" s="19" t="s">
        <v>32</v>
      </c>
      <c r="J40" s="19" t="s">
        <v>31</v>
      </c>
      <c r="K40" s="22">
        <v>20000</v>
      </c>
    </row>
    <row r="41" spans="4:11" ht="14.1" customHeight="1">
      <c r="D41" s="30"/>
      <c r="E41" s="28" t="s">
        <v>13</v>
      </c>
      <c r="F41" s="29" t="s">
        <v>61</v>
      </c>
      <c r="G41" s="21">
        <v>1</v>
      </c>
      <c r="H41" s="22">
        <v>20000</v>
      </c>
      <c r="I41" s="22">
        <v>20000</v>
      </c>
      <c r="J41" s="33">
        <v>15</v>
      </c>
      <c r="K41" s="22">
        <v>150000</v>
      </c>
    </row>
    <row r="42" spans="4:11" ht="14.1" customHeight="1">
      <c r="D42" s="30"/>
      <c r="E42" s="28" t="s">
        <v>0</v>
      </c>
      <c r="F42" s="30" t="s">
        <v>68</v>
      </c>
      <c r="G42" s="23">
        <v>1</v>
      </c>
      <c r="H42" s="22">
        <v>150000</v>
      </c>
      <c r="I42" s="22">
        <v>150000</v>
      </c>
      <c r="J42" s="34"/>
      <c r="K42" s="35">
        <v>1100000</v>
      </c>
    </row>
    <row r="43" spans="4:11" s="10" customFormat="1" ht="14.1" customHeight="1">
      <c r="D43" s="36">
        <v>9754</v>
      </c>
      <c r="E43" s="37" t="s">
        <v>1</v>
      </c>
      <c r="F43" s="43" t="s">
        <v>70</v>
      </c>
      <c r="G43" s="38">
        <v>2</v>
      </c>
      <c r="H43" s="35">
        <v>525000</v>
      </c>
      <c r="I43" s="35">
        <v>1050000</v>
      </c>
      <c r="J43" s="34"/>
      <c r="K43" s="22">
        <v>35000</v>
      </c>
    </row>
    <row r="44" spans="4:11" ht="14.1" customHeight="1">
      <c r="D44" s="30"/>
      <c r="E44" s="28" t="s">
        <v>2</v>
      </c>
      <c r="F44" s="31" t="s">
        <v>67</v>
      </c>
      <c r="G44" s="21">
        <v>2</v>
      </c>
      <c r="H44" s="22">
        <v>7500</v>
      </c>
      <c r="I44" s="22">
        <v>15000</v>
      </c>
      <c r="J44" s="34"/>
      <c r="K44" s="22">
        <v>1560000</v>
      </c>
    </row>
    <row r="45" spans="4:11" ht="14.1" customHeight="1">
      <c r="D45" s="30"/>
      <c r="E45" s="28" t="s">
        <v>3</v>
      </c>
      <c r="F45" s="32" t="s">
        <v>65</v>
      </c>
      <c r="G45" s="21">
        <v>8</v>
      </c>
      <c r="H45" s="22">
        <v>125000</v>
      </c>
      <c r="I45" s="26">
        <v>1000000</v>
      </c>
      <c r="J45" s="34"/>
      <c r="K45" s="22">
        <v>25000</v>
      </c>
    </row>
    <row r="46" spans="4:11" ht="14.1" customHeight="1">
      <c r="D46" s="30"/>
      <c r="E46" s="28" t="s">
        <v>37</v>
      </c>
      <c r="F46" s="29" t="s">
        <v>36</v>
      </c>
      <c r="G46" s="21">
        <v>1</v>
      </c>
      <c r="H46" s="22">
        <v>25000</v>
      </c>
      <c r="I46" s="22">
        <v>25000</v>
      </c>
      <c r="J46" s="34"/>
      <c r="K46" s="26">
        <v>36000</v>
      </c>
    </row>
    <row r="47" spans="4:11" ht="14.1" customHeight="1">
      <c r="D47" s="30"/>
      <c r="E47" s="28" t="s">
        <v>23</v>
      </c>
      <c r="F47" s="29" t="s">
        <v>24</v>
      </c>
      <c r="G47" s="21">
        <v>1</v>
      </c>
      <c r="H47" s="26">
        <v>40000</v>
      </c>
      <c r="I47" s="26">
        <v>40000</v>
      </c>
      <c r="J47" s="34"/>
      <c r="K47" s="26">
        <v>16000</v>
      </c>
    </row>
    <row r="48" spans="4:11" ht="14.1" customHeight="1">
      <c r="D48" s="30"/>
      <c r="E48" s="28" t="s">
        <v>26</v>
      </c>
      <c r="F48" s="29" t="s">
        <v>25</v>
      </c>
      <c r="G48" s="21">
        <v>1</v>
      </c>
      <c r="H48" s="26">
        <v>16000</v>
      </c>
      <c r="I48" s="26">
        <v>16000</v>
      </c>
      <c r="J48" s="34"/>
      <c r="K48" s="22">
        <v>55000</v>
      </c>
    </row>
    <row r="49" spans="4:11" ht="14.1" customHeight="1">
      <c r="D49" s="30"/>
      <c r="E49" s="28" t="s">
        <v>14</v>
      </c>
      <c r="F49" s="29" t="s">
        <v>51</v>
      </c>
      <c r="G49" s="21">
        <v>1</v>
      </c>
      <c r="H49" s="39">
        <v>55000</v>
      </c>
      <c r="I49" s="22">
        <v>55000</v>
      </c>
      <c r="J49" s="40"/>
      <c r="K49" s="30">
        <v>2997000</v>
      </c>
    </row>
    <row r="50" spans="4:11" ht="14.1" customHeight="1">
      <c r="D50" s="30"/>
      <c r="E50" s="27"/>
      <c r="F50" s="27"/>
      <c r="G50" s="19" t="s">
        <v>8</v>
      </c>
      <c r="H50" s="23"/>
      <c r="I50" s="23">
        <f>SUM(I41:I49)</f>
        <v>2371000</v>
      </c>
      <c r="J50" s="41">
        <v>35565000</v>
      </c>
      <c r="K50" s="30"/>
    </row>
    <row r="51" spans="4:11" ht="14.1" customHeight="1">
      <c r="D51" s="30"/>
      <c r="E51" s="27"/>
      <c r="F51" s="27"/>
      <c r="G51" s="19" t="s">
        <v>15</v>
      </c>
      <c r="H51" s="23"/>
      <c r="I51" s="41">
        <v>2797780</v>
      </c>
      <c r="J51" s="41">
        <v>41966700</v>
      </c>
      <c r="K51" s="30"/>
    </row>
    <row r="52" spans="4:11" ht="14.1" customHeight="1">
      <c r="D52" s="30"/>
      <c r="E52" s="27"/>
      <c r="F52" s="27"/>
      <c r="G52" s="19" t="s">
        <v>9</v>
      </c>
      <c r="H52" s="23"/>
      <c r="I52" s="42"/>
      <c r="J52" s="41">
        <v>7554006</v>
      </c>
      <c r="K52" s="30"/>
    </row>
    <row r="53" spans="4:11" ht="14.1" customHeight="1">
      <c r="D53" s="30"/>
      <c r="E53" s="27"/>
      <c r="F53" s="27"/>
      <c r="G53" s="19" t="s">
        <v>7</v>
      </c>
      <c r="H53" s="23"/>
      <c r="I53" s="42"/>
      <c r="J53" s="41">
        <v>49520706</v>
      </c>
      <c r="K53" s="30"/>
    </row>
    <row r="55" spans="4:11" ht="14.1" customHeight="1">
      <c r="E55" s="1" t="s">
        <v>11</v>
      </c>
      <c r="F55" s="6" t="s">
        <v>17</v>
      </c>
      <c r="G55" s="13"/>
      <c r="H55" s="14"/>
      <c r="I55" s="15"/>
      <c r="J55" s="15"/>
    </row>
    <row r="56" spans="4:11" ht="14.1" customHeight="1">
      <c r="E56" s="16"/>
      <c r="F56" s="9" t="s">
        <v>34</v>
      </c>
      <c r="G56" s="17" t="s">
        <v>10</v>
      </c>
      <c r="H56" s="15" t="s">
        <v>16</v>
      </c>
      <c r="I56" s="15"/>
      <c r="J56" s="15"/>
    </row>
    <row r="57" spans="4:11" ht="14.1" customHeight="1">
      <c r="E57" s="18" t="s">
        <v>4</v>
      </c>
      <c r="F57" s="18" t="s">
        <v>5</v>
      </c>
      <c r="G57" s="19" t="s">
        <v>6</v>
      </c>
      <c r="H57" s="19" t="s">
        <v>12</v>
      </c>
      <c r="I57" s="19" t="s">
        <v>32</v>
      </c>
      <c r="J57" s="19" t="s">
        <v>31</v>
      </c>
    </row>
    <row r="58" spans="4:11" ht="14.1" customHeight="1">
      <c r="E58" s="28" t="s">
        <v>13</v>
      </c>
      <c r="F58" s="29" t="s">
        <v>18</v>
      </c>
      <c r="G58" s="21">
        <v>1</v>
      </c>
      <c r="H58" s="22">
        <v>65000</v>
      </c>
      <c r="I58" s="22">
        <v>65000</v>
      </c>
      <c r="J58" s="33"/>
    </row>
    <row r="59" spans="4:11" ht="14.1" customHeight="1">
      <c r="E59" s="28" t="s">
        <v>0</v>
      </c>
      <c r="F59" s="12" t="s">
        <v>63</v>
      </c>
      <c r="G59" s="23">
        <v>1</v>
      </c>
      <c r="H59" s="22">
        <v>80000</v>
      </c>
      <c r="I59" s="22">
        <v>80000</v>
      </c>
      <c r="J59" s="34"/>
    </row>
    <row r="60" spans="4:11" ht="14.1" customHeight="1">
      <c r="E60" s="28" t="s">
        <v>1</v>
      </c>
      <c r="F60" s="11" t="s">
        <v>62</v>
      </c>
      <c r="G60" s="21">
        <v>1</v>
      </c>
      <c r="H60" s="22">
        <v>75000</v>
      </c>
      <c r="I60" s="22">
        <v>75000</v>
      </c>
      <c r="J60" s="34"/>
    </row>
    <row r="61" spans="4:11" ht="14.1" customHeight="1">
      <c r="E61" s="28" t="s">
        <v>2</v>
      </c>
      <c r="F61" s="24" t="s">
        <v>64</v>
      </c>
      <c r="G61" s="21">
        <v>1</v>
      </c>
      <c r="H61" s="22">
        <v>7000</v>
      </c>
      <c r="I61" s="22">
        <v>7000</v>
      </c>
      <c r="J61" s="34"/>
    </row>
    <row r="62" spans="4:11" ht="14.1" customHeight="1">
      <c r="E62" s="28" t="s">
        <v>3</v>
      </c>
      <c r="F62" s="25" t="s">
        <v>65</v>
      </c>
      <c r="G62" s="21">
        <v>8</v>
      </c>
      <c r="H62" s="22">
        <v>125000</v>
      </c>
      <c r="I62" s="26">
        <v>1000000</v>
      </c>
      <c r="J62" s="34"/>
    </row>
    <row r="63" spans="4:11" ht="14.1" customHeight="1">
      <c r="E63" s="28" t="s">
        <v>20</v>
      </c>
      <c r="F63" s="29" t="s">
        <v>21</v>
      </c>
      <c r="G63" s="21">
        <v>1</v>
      </c>
      <c r="H63" s="22">
        <v>25000</v>
      </c>
      <c r="I63" s="22">
        <v>25000</v>
      </c>
      <c r="J63" s="34"/>
    </row>
    <row r="64" spans="4:11" ht="14.1" customHeight="1">
      <c r="E64" s="28" t="s">
        <v>22</v>
      </c>
      <c r="F64" s="27" t="s">
        <v>45</v>
      </c>
      <c r="G64" s="23">
        <v>2</v>
      </c>
      <c r="H64" s="26">
        <v>400000</v>
      </c>
      <c r="I64" s="26">
        <v>800000</v>
      </c>
      <c r="J64" s="34"/>
    </row>
    <row r="65" spans="5:10" ht="14.1" customHeight="1">
      <c r="E65" s="28" t="s">
        <v>46</v>
      </c>
      <c r="F65" s="29" t="s">
        <v>47</v>
      </c>
      <c r="G65" s="21">
        <v>8</v>
      </c>
      <c r="H65" s="26">
        <v>15000</v>
      </c>
      <c r="I65" s="26">
        <v>120000</v>
      </c>
      <c r="J65" s="34"/>
    </row>
    <row r="66" spans="5:10" ht="14.1" customHeight="1">
      <c r="E66" s="28" t="s">
        <v>48</v>
      </c>
      <c r="F66" s="29" t="s">
        <v>24</v>
      </c>
      <c r="G66" s="21">
        <v>1</v>
      </c>
      <c r="H66" s="26">
        <v>40000</v>
      </c>
      <c r="I66" s="26">
        <v>40000</v>
      </c>
      <c r="J66" s="34"/>
    </row>
    <row r="67" spans="5:10" ht="14.1" customHeight="1">
      <c r="E67" s="28" t="s">
        <v>26</v>
      </c>
      <c r="F67" s="29" t="s">
        <v>25</v>
      </c>
      <c r="G67" s="21">
        <v>1</v>
      </c>
      <c r="H67" s="26">
        <v>16000</v>
      </c>
      <c r="I67" s="26">
        <v>16000</v>
      </c>
      <c r="J67" s="34"/>
    </row>
    <row r="68" spans="5:10" ht="14.1" customHeight="1">
      <c r="E68" s="28" t="s">
        <v>14</v>
      </c>
      <c r="F68" s="29" t="s">
        <v>27</v>
      </c>
      <c r="G68" s="21">
        <v>1</v>
      </c>
      <c r="H68" s="22">
        <v>35000</v>
      </c>
      <c r="I68" s="22">
        <v>35000</v>
      </c>
      <c r="J68" s="40"/>
    </row>
    <row r="69" spans="5:10" ht="14.1" customHeight="1">
      <c r="E69" s="27"/>
      <c r="F69" s="27"/>
      <c r="G69" s="19" t="s">
        <v>8</v>
      </c>
      <c r="H69" s="23"/>
      <c r="I69" s="23">
        <f>SUM(I58:I68)</f>
        <v>2263000</v>
      </c>
      <c r="J69" s="23"/>
    </row>
    <row r="70" spans="5:10" ht="14.1" customHeight="1">
      <c r="E70" s="27"/>
      <c r="F70" s="27"/>
      <c r="G70" s="19" t="s">
        <v>15</v>
      </c>
      <c r="H70" s="23"/>
      <c r="I70" s="41">
        <v>2670340</v>
      </c>
      <c r="J70" s="23"/>
    </row>
    <row r="71" spans="5:10" ht="14.1" customHeight="1">
      <c r="E71" s="27"/>
      <c r="F71" s="27" t="s">
        <v>69</v>
      </c>
      <c r="G71" s="19" t="s">
        <v>9</v>
      </c>
      <c r="H71" s="23"/>
      <c r="I71" s="42">
        <v>480661.2</v>
      </c>
      <c r="J71" s="23"/>
    </row>
    <row r="72" spans="5:10" ht="14.1" customHeight="1">
      <c r="E72" s="27"/>
      <c r="F72" s="27"/>
      <c r="G72" s="19" t="s">
        <v>7</v>
      </c>
      <c r="H72" s="23"/>
      <c r="I72" s="42">
        <v>3151001.2</v>
      </c>
      <c r="J72" s="23"/>
    </row>
    <row r="74" spans="5:10" ht="14.1" customHeight="1">
      <c r="E74" s="1" t="s">
        <v>11</v>
      </c>
      <c r="F74" s="6" t="s">
        <v>17</v>
      </c>
      <c r="G74" s="13"/>
      <c r="H74" s="14"/>
      <c r="I74" s="15"/>
      <c r="J74" s="15"/>
    </row>
    <row r="75" spans="5:10" ht="14.1" customHeight="1">
      <c r="E75" s="16"/>
      <c r="F75" s="9" t="s">
        <v>34</v>
      </c>
      <c r="G75" s="17" t="s">
        <v>10</v>
      </c>
      <c r="H75" s="15" t="s">
        <v>16</v>
      </c>
      <c r="I75" s="15"/>
      <c r="J75" s="15"/>
    </row>
    <row r="76" spans="5:10" ht="14.1" customHeight="1">
      <c r="E76" s="18" t="s">
        <v>4</v>
      </c>
      <c r="F76" s="18" t="s">
        <v>5</v>
      </c>
      <c r="G76" s="19" t="s">
        <v>6</v>
      </c>
      <c r="H76" s="19" t="s">
        <v>12</v>
      </c>
      <c r="I76" s="19" t="s">
        <v>32</v>
      </c>
      <c r="J76" s="19" t="s">
        <v>31</v>
      </c>
    </row>
    <row r="77" spans="5:10" ht="14.1" customHeight="1">
      <c r="E77" s="28" t="s">
        <v>13</v>
      </c>
      <c r="F77" s="29" t="s">
        <v>38</v>
      </c>
      <c r="G77" s="21">
        <v>1</v>
      </c>
      <c r="H77" s="22"/>
      <c r="I77" s="22">
        <v>400000</v>
      </c>
      <c r="J77" s="33">
        <v>2</v>
      </c>
    </row>
    <row r="78" spans="5:10" ht="14.1" customHeight="1">
      <c r="E78" s="28" t="s">
        <v>39</v>
      </c>
      <c r="F78" s="8" t="s">
        <v>52</v>
      </c>
      <c r="G78" s="21">
        <v>6</v>
      </c>
      <c r="H78" s="22">
        <v>25000</v>
      </c>
      <c r="I78" s="22">
        <v>150000</v>
      </c>
      <c r="J78" s="34"/>
    </row>
    <row r="79" spans="5:10" ht="14.1" customHeight="1">
      <c r="E79" s="28" t="s">
        <v>40</v>
      </c>
      <c r="F79" s="31" t="s">
        <v>49</v>
      </c>
      <c r="G79" s="21">
        <v>52</v>
      </c>
      <c r="H79" s="22">
        <v>54000</v>
      </c>
      <c r="I79" s="22">
        <v>2808000</v>
      </c>
      <c r="J79" s="34"/>
    </row>
    <row r="80" spans="5:10" ht="14.1" customHeight="1">
      <c r="E80" s="28" t="s">
        <v>41</v>
      </c>
      <c r="F80" s="32" t="s">
        <v>42</v>
      </c>
      <c r="G80" s="21">
        <v>8</v>
      </c>
      <c r="H80" s="22">
        <v>75000</v>
      </c>
      <c r="I80" s="22">
        <v>600000</v>
      </c>
      <c r="J80" s="34"/>
    </row>
    <row r="81" spans="5:10" ht="14.1" customHeight="1">
      <c r="E81" s="28" t="s">
        <v>43</v>
      </c>
      <c r="F81" s="32" t="s">
        <v>44</v>
      </c>
      <c r="G81" s="21">
        <v>1</v>
      </c>
      <c r="H81" s="22"/>
      <c r="I81" s="22">
        <v>0</v>
      </c>
      <c r="J81" s="40"/>
    </row>
    <row r="82" spans="5:10" ht="14.1" customHeight="1">
      <c r="E82" s="27"/>
      <c r="F82" s="27"/>
      <c r="G82" s="19" t="s">
        <v>8</v>
      </c>
      <c r="H82" s="23"/>
      <c r="I82" s="23">
        <v>3958000</v>
      </c>
      <c r="J82" s="23">
        <v>7916000</v>
      </c>
    </row>
    <row r="83" spans="5:10" ht="14.1" customHeight="1">
      <c r="E83" s="27"/>
      <c r="F83" s="27"/>
      <c r="G83" s="19" t="s">
        <v>15</v>
      </c>
      <c r="H83" s="23"/>
      <c r="I83" s="23">
        <v>4551700</v>
      </c>
      <c r="J83" s="23">
        <v>9103400</v>
      </c>
    </row>
    <row r="84" spans="5:10" ht="14.1" customHeight="1">
      <c r="E84" s="27"/>
      <c r="F84" s="27"/>
      <c r="G84" s="19" t="s">
        <v>9</v>
      </c>
      <c r="H84" s="23"/>
      <c r="I84" s="23"/>
      <c r="J84" s="23">
        <v>1638612</v>
      </c>
    </row>
    <row r="85" spans="5:10" ht="14.1" customHeight="1">
      <c r="E85" s="27"/>
      <c r="F85" s="27"/>
      <c r="G85" s="19" t="s">
        <v>7</v>
      </c>
      <c r="H85" s="23"/>
      <c r="I85" s="23"/>
      <c r="J85" s="23">
        <v>10742012</v>
      </c>
    </row>
    <row r="87" spans="5:10" ht="14.1" customHeight="1">
      <c r="F87" s="27"/>
      <c r="G87" s="23"/>
      <c r="H87" s="23"/>
      <c r="I87" s="27"/>
    </row>
    <row r="88" spans="5:10" ht="14.1" customHeight="1">
      <c r="F88" s="27" t="s">
        <v>59</v>
      </c>
      <c r="G88" s="23"/>
      <c r="H88" s="23"/>
      <c r="I88" s="27"/>
    </row>
    <row r="89" spans="5:10" ht="14.1" customHeight="1">
      <c r="F89" s="27" t="s">
        <v>60</v>
      </c>
      <c r="G89" s="23"/>
      <c r="H89" s="23">
        <v>1</v>
      </c>
      <c r="I89" s="27">
        <v>1899500</v>
      </c>
    </row>
  </sheetData>
  <mergeCells count="3">
    <mergeCell ref="J41:J49"/>
    <mergeCell ref="J58:J68"/>
    <mergeCell ref="J77:J8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ADMIN</cp:lastModifiedBy>
  <dcterms:created xsi:type="dcterms:W3CDTF">2026-01-29T14:32:49Z</dcterms:created>
  <dcterms:modified xsi:type="dcterms:W3CDTF">2026-07-19T16:55:39Z</dcterms:modified>
</cp:coreProperties>
</file>