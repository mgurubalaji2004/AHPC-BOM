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8" i="2" l="1"/>
  <c r="E52" i="2"/>
  <c r="E40" i="2"/>
  <c r="F40" i="2" s="1"/>
  <c r="F41" i="2" s="1"/>
  <c r="E24" i="2"/>
  <c r="E13" i="2"/>
  <c r="E26" i="1" l="1"/>
  <c r="E27" i="1" s="1"/>
  <c r="F42" i="2"/>
  <c r="F43" i="2"/>
  <c r="E52" i="1" l="1"/>
  <c r="E36" i="1"/>
  <c r="E24" i="1"/>
  <c r="F24" i="1" s="1"/>
  <c r="F25" i="1" s="1"/>
  <c r="E8" i="1"/>
  <c r="F26" i="1" l="1"/>
  <c r="F27" i="1"/>
</calcChain>
</file>

<file path=xl/sharedStrings.xml><?xml version="1.0" encoding="utf-8"?>
<sst xmlns="http://schemas.openxmlformats.org/spreadsheetml/2006/main" count="246" uniqueCount="52">
  <si>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</si>
  <si>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</si>
  <si>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</si>
  <si>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</si>
  <si>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</si>
  <si>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</si>
  <si>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Chassis</t>
  </si>
  <si>
    <t>Motherboard</t>
  </si>
  <si>
    <t>CPU</t>
  </si>
  <si>
    <t>Heatsink</t>
  </si>
  <si>
    <t>Memory</t>
  </si>
  <si>
    <t>SSD</t>
  </si>
  <si>
    <t>HDD</t>
  </si>
  <si>
    <t>Raid Controlller</t>
  </si>
  <si>
    <t>GST -18%</t>
  </si>
  <si>
    <t>Total Price</t>
  </si>
  <si>
    <t xml:space="preserve">indicate changes if any </t>
  </si>
  <si>
    <t>With Margin(15%)</t>
  </si>
  <si>
    <t>Unit Prize</t>
  </si>
  <si>
    <t xml:space="preserve">Megaraid 9560-16i </t>
  </si>
  <si>
    <t xml:space="preserve">960GB SATA SSD </t>
  </si>
  <si>
    <t>24TB HDD</t>
  </si>
  <si>
    <t>AMD EPYC 9354 32-Cores, Base Freq 3.25GHz, Max Freq 3.8GHz, Cache 256MB</t>
  </si>
  <si>
    <t xml:space="preserve">64GB DDR5 4800MHz </t>
  </si>
  <si>
    <t>J12</t>
  </si>
  <si>
    <t>Sub Total</t>
  </si>
  <si>
    <t xml:space="preserve">TYAN S8050 AMD EPYC 9004 Series SoC Chipset with 8 x DIMMs Motherboard </t>
  </si>
  <si>
    <t>6U 60-bay Chassis with 1600W</t>
  </si>
  <si>
    <t>Gooxi</t>
  </si>
  <si>
    <t>Rate</t>
  </si>
  <si>
    <t xml:space="preserve">4U 108x 3.5” hot-swap bays, hot-swap JBOD </t>
  </si>
  <si>
    <t>6100 USD</t>
  </si>
  <si>
    <t>AIC</t>
  </si>
  <si>
    <t>power supply</t>
  </si>
  <si>
    <t>4560000-4464000</t>
  </si>
  <si>
    <t xml:space="preserve">2U 12-bay Rackmountable </t>
  </si>
  <si>
    <t>MZ73-LM0</t>
  </si>
  <si>
    <t>Arihant</t>
  </si>
  <si>
    <t>J10</t>
  </si>
  <si>
    <t>Megaraid 9500-16e</t>
  </si>
  <si>
    <t>Power supply</t>
  </si>
  <si>
    <t xml:space="preserve">1200W RPS </t>
  </si>
  <si>
    <t>Raid cables</t>
  </si>
  <si>
    <t>SAS HBA Controller</t>
  </si>
  <si>
    <t xml:space="preserve">500TB </t>
  </si>
  <si>
    <t>1104TB</t>
  </si>
  <si>
    <t>528TB Usable Expandable upto 2544TB</t>
  </si>
  <si>
    <t>raid cable</t>
  </si>
  <si>
    <t>1392TB Expandable  528TB Usable</t>
  </si>
  <si>
    <t>Margin(15%)</t>
  </si>
  <si>
    <t>AMD EPYC™ 9124 (Cores-16, Base Freq 3.00GHz, Max Freq 3.70GHz, Cache 64MB)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</si>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</sst>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" fontId="0" fillId="0" borderId="1" xfId="0" applyNumberFormat="1" applyFont="1" applyBorder="1" applyAlignment="1">
      <alignment horizontal="center" vertical="center" wrapText="1"/>
    </xf>
    <xf numFmtId="4" fontId="0" fillId="5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wrapText="1"/>
    </xf>
    <xf numFmtId="0" fontId="0" fillId="4" borderId="1" xfId="0" applyFont="1" applyFill="1" applyBorder="1" applyAlignment="1">
      <alignment horizontal="right" wrapText="1"/>
    </xf>
    <xf numFmtId="3" fontId="0" fillId="0" borderId="1" xfId="0" applyNumberFormat="1" applyFont="1" applyBorder="1" applyAlignment="1">
      <alignment horizontal="right" wrapText="1"/>
    </xf>
    <xf numFmtId="3" fontId="0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3" borderId="1" xfId="0" applyFont="1" applyFill="1" applyBorder="1" applyAlignment="1">
      <alignment vertical="top" wrapText="1"/>
    </xf>
    <xf numFmtId="0" fontId="5" fillId="0" borderId="2" xfId="0" applyFont="1" applyBorder="1"/>
    <xf numFmtId="3" fontId="0" fillId="0" borderId="1" xfId="0" applyNumberFormat="1" applyFont="1" applyBorder="1" applyAlignment="1">
      <alignment vertical="center" readingOrder="1"/>
    </xf>
    <xf numFmtId="0" fontId="0" fillId="4" borderId="1" xfId="0" applyFont="1" applyFill="1" applyBorder="1" applyAlignment="1">
      <alignment wrapText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0" fontId="0" fillId="0" borderId="0" xfId="0" applyFont="1" applyBorder="1"/>
    <xf numFmtId="0" fontId="0" fillId="0" borderId="1" xfId="0" applyFont="1" applyFill="1" applyBorder="1"/>
    <xf numFmtId="0" fontId="0" fillId="4" borderId="3" xfId="0" applyFont="1" applyFill="1" applyBorder="1" applyAlignment="1">
      <alignment wrapText="1"/>
    </xf>
    <xf numFmtId="4" fontId="0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top" wrapText="1"/>
    </xf>
    <xf numFmtId="4" fontId="0" fillId="0" borderId="0" xfId="0" applyNumberFormat="1"/>
    <xf numFmtId="0" fontId="0" fillId="6" borderId="0" xfId="0" applyFill="1"/>
    <xf numFmtId="0" fontId="0" fillId="6" borderId="0" xfId="0" applyFill="1" applyAlignment="1">
      <alignment vertical="center"/>
    </xf>
    <xf numFmtId="4" fontId="0" fillId="6" borderId="0" xfId="0" applyNumberFormat="1" applyFill="1" applyAlignment="1">
      <alignment horizontal="right"/>
    </xf>
    <xf numFmtId="0" fontId="1" fillId="6" borderId="1" xfId="0" applyFont="1" applyFill="1" applyBorder="1" applyAlignment="1">
      <alignment horizontal="right" vertical="top" wrapText="1"/>
    </xf>
    <xf numFmtId="0" fontId="0" fillId="6" borderId="1" xfId="0" applyFont="1" applyFill="1" applyBorder="1" applyAlignment="1">
      <alignment wrapText="1"/>
    </xf>
    <xf numFmtId="0" fontId="0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5"/>
  <sheetViews>
    <sheetView tabSelected="1" topLeftCell="A14" zoomScale="70" zoomScaleNormal="70" workbookViewId="0">
      <selection activeCell="A21" sqref="A21"/>
    </sheetView>
  </sheetViews>
  <sheetFormatPr defaultRowHeight="15" x14ac:dyDescent="0.25"/>
  <cols>
    <col min="1" max="1" width="14.28515625" customWidth="1"/>
    <col min="2" max="2" width="53.7109375" customWidth="1"/>
    <col min="3" max="3" width="15.85546875" style="20" customWidth="1"/>
    <col min="4" max="4" width="13" style="20" customWidth="1"/>
    <col min="5" max="5" width="16.7109375" style="30" customWidth="1"/>
    <col min="6" max="6" width="30.42578125" customWidth="1"/>
  </cols>
  <sheetData>
    <row r="2" spans="1:6" s="49" customFormat="1" x14ac:dyDescent="0.25">
      <c r="A2" s="52" t="s">
        <v>0</v>
      </c>
      <c r="B2" s="52"/>
      <c r="C2" s="53"/>
      <c r="D2" s="53"/>
      <c r="E2" s="53"/>
      <c r="F2" s="54"/>
    </row>
    <row r="3" spans="1:6" x14ac:dyDescent="0.25">
      <c r="A3" s="4" t="s">
        <v>1</v>
      </c>
      <c r="B3" s="2" t="s">
        <v>45</v>
      </c>
      <c r="C3" s="33" t="s">
        <v>2</v>
      </c>
      <c r="D3" s="45"/>
      <c r="E3" s="46"/>
      <c r="F3" s="3"/>
    </row>
    <row r="4" spans="1:6" x14ac:dyDescent="0.25">
      <c r="A4" s="5" t="s">
        <v>3</v>
      </c>
      <c r="B4" s="5" t="s">
        <v>4</v>
      </c>
      <c r="C4" s="5" t="s">
        <v>5</v>
      </c>
      <c r="D4" s="5" t="s">
        <v>18</v>
      </c>
      <c r="E4" s="5" t="s">
        <v>29</v>
      </c>
      <c r="F4" s="5" t="s">
        <v>16</v>
      </c>
    </row>
    <row r="5" spans="1:6" x14ac:dyDescent="0.25">
      <c r="A5" s="2" t="s">
        <v>6</v>
      </c>
      <c r="B5" s="34" t="s">
        <v>30</v>
      </c>
      <c r="C5" s="31">
        <v>1</v>
      </c>
      <c r="D5" s="14" t="s">
        <v>31</v>
      </c>
      <c r="E5" s="35">
        <v>700000</v>
      </c>
      <c r="F5" s="3" t="s">
        <v>32</v>
      </c>
    </row>
    <row r="6" spans="1:6" x14ac:dyDescent="0.25">
      <c r="A6" s="2" t="s">
        <v>12</v>
      </c>
      <c r="B6" s="8" t="s">
        <v>21</v>
      </c>
      <c r="C6" s="12">
        <v>48</v>
      </c>
      <c r="D6" s="14">
        <v>95000</v>
      </c>
      <c r="E6" s="27">
        <v>4608000</v>
      </c>
      <c r="F6" s="3"/>
    </row>
    <row r="7" spans="1:6" x14ac:dyDescent="0.25">
      <c r="A7" s="2" t="s">
        <v>33</v>
      </c>
      <c r="B7" s="8"/>
      <c r="C7" s="31"/>
      <c r="D7" s="14"/>
      <c r="E7" s="25"/>
      <c r="F7" s="3"/>
    </row>
    <row r="8" spans="1:6" x14ac:dyDescent="0.25">
      <c r="A8" s="2"/>
      <c r="B8" s="9" t="s">
        <v>45</v>
      </c>
      <c r="C8" s="36" t="s">
        <v>25</v>
      </c>
      <c r="D8" s="37"/>
      <c r="E8" s="27">
        <f>SUM(E5:E7)</f>
        <v>5308000</v>
      </c>
      <c r="F8" s="3" t="s">
        <v>34</v>
      </c>
    </row>
    <row r="9" spans="1:6" ht="30" x14ac:dyDescent="0.25">
      <c r="A9" s="2"/>
      <c r="B9" s="2"/>
      <c r="C9" s="36" t="s">
        <v>17</v>
      </c>
      <c r="D9" s="38"/>
      <c r="E9" s="28">
        <v>6245000</v>
      </c>
      <c r="F9" s="3"/>
    </row>
    <row r="10" spans="1:6" ht="15.75" x14ac:dyDescent="0.25">
      <c r="A10" s="2"/>
      <c r="B10" s="2"/>
      <c r="C10" s="5" t="s">
        <v>14</v>
      </c>
      <c r="D10" s="39"/>
      <c r="E10" s="29">
        <v>1124100</v>
      </c>
      <c r="F10" s="3"/>
    </row>
    <row r="11" spans="1:6" ht="15.75" x14ac:dyDescent="0.25">
      <c r="A11" s="2"/>
      <c r="B11" s="2"/>
      <c r="C11" s="5" t="s">
        <v>15</v>
      </c>
      <c r="D11" s="39"/>
      <c r="E11" s="29">
        <v>7369100</v>
      </c>
      <c r="F11" s="3"/>
    </row>
    <row r="12" spans="1:6" x14ac:dyDescent="0.25">
      <c r="C12"/>
      <c r="D12"/>
      <c r="E12"/>
    </row>
    <row r="13" spans="1:6" x14ac:dyDescent="0.25">
      <c r="C13"/>
      <c r="D13"/>
      <c r="E13"/>
    </row>
    <row r="14" spans="1:6" x14ac:dyDescent="0.25">
      <c r="A14" s="5" t="s">
        <v>3</v>
      </c>
      <c r="B14" s="5" t="s">
        <v>4</v>
      </c>
      <c r="C14" s="18" t="s">
        <v>5</v>
      </c>
      <c r="D14" s="13" t="s">
        <v>18</v>
      </c>
      <c r="E14" s="24" t="s">
        <v>15</v>
      </c>
      <c r="F14" s="5" t="s">
        <v>16</v>
      </c>
    </row>
    <row r="15" spans="1:6" x14ac:dyDescent="0.25">
      <c r="A15" s="2" t="s">
        <v>6</v>
      </c>
      <c r="B15" s="11" t="s">
        <v>35</v>
      </c>
      <c r="C15" s="12">
        <v>1</v>
      </c>
      <c r="D15" s="14">
        <v>99000</v>
      </c>
      <c r="E15" s="25">
        <v>99000</v>
      </c>
      <c r="F15" s="3" t="s">
        <v>32</v>
      </c>
    </row>
    <row r="16" spans="1:6" x14ac:dyDescent="0.25">
      <c r="A16" s="2" t="s">
        <v>7</v>
      </c>
      <c r="B16" s="10" t="s">
        <v>36</v>
      </c>
      <c r="C16" s="12">
        <v>1</v>
      </c>
      <c r="D16" s="14">
        <v>150000</v>
      </c>
      <c r="E16" s="25">
        <v>150000</v>
      </c>
      <c r="F16" s="3" t="s">
        <v>37</v>
      </c>
    </row>
    <row r="17" spans="1:11" ht="30" x14ac:dyDescent="0.25">
      <c r="A17" s="2" t="s">
        <v>8</v>
      </c>
      <c r="B17" s="47" t="s">
        <v>50</v>
      </c>
      <c r="C17" s="12">
        <v>2</v>
      </c>
      <c r="D17" s="14">
        <v>60300</v>
      </c>
      <c r="E17" s="25">
        <v>125000</v>
      </c>
      <c r="F17" s="3"/>
    </row>
    <row r="18" spans="1:11" x14ac:dyDescent="0.25">
      <c r="A18" s="2" t="s">
        <v>9</v>
      </c>
      <c r="B18" s="7" t="s">
        <v>38</v>
      </c>
      <c r="C18" s="12">
        <v>1</v>
      </c>
      <c r="D18" s="14">
        <v>6000</v>
      </c>
      <c r="E18" s="25">
        <v>7500</v>
      </c>
      <c r="F18" s="3"/>
    </row>
    <row r="19" spans="1:11" x14ac:dyDescent="0.25">
      <c r="A19" s="2" t="s">
        <v>10</v>
      </c>
      <c r="B19" s="8" t="s">
        <v>23</v>
      </c>
      <c r="C19" s="12">
        <v>4</v>
      </c>
      <c r="D19" s="14">
        <v>210000</v>
      </c>
      <c r="E19" s="25">
        <v>840000</v>
      </c>
      <c r="F19" s="3"/>
    </row>
    <row r="20" spans="1:11" x14ac:dyDescent="0.25">
      <c r="A20" s="2" t="s">
        <v>11</v>
      </c>
      <c r="B20" s="6" t="s">
        <v>20</v>
      </c>
      <c r="C20" s="12">
        <v>2</v>
      </c>
      <c r="D20" s="14">
        <v>55000</v>
      </c>
      <c r="E20" s="25">
        <v>110000</v>
      </c>
      <c r="F20" s="3"/>
    </row>
    <row r="21" spans="1:11" ht="30" x14ac:dyDescent="0.25">
      <c r="A21" s="2" t="s">
        <v>13</v>
      </c>
      <c r="B21" s="3" t="s">
        <v>39</v>
      </c>
      <c r="C21" s="19">
        <v>1</v>
      </c>
      <c r="D21" s="15">
        <v>63000</v>
      </c>
      <c r="E21" s="26">
        <v>100000</v>
      </c>
      <c r="F21" s="3"/>
      <c r="K21" t="s">
        <v>51</v>
      </c>
    </row>
    <row r="22" spans="1:11" x14ac:dyDescent="0.25">
      <c r="A22" s="2" t="s">
        <v>40</v>
      </c>
      <c r="B22" s="3" t="s">
        <v>41</v>
      </c>
      <c r="C22" s="19">
        <v>1</v>
      </c>
      <c r="D22" s="15">
        <v>10000</v>
      </c>
      <c r="E22" s="26">
        <v>10000</v>
      </c>
      <c r="F22" s="40"/>
    </row>
    <row r="23" spans="1:11" x14ac:dyDescent="0.25">
      <c r="A23" s="2" t="s">
        <v>42</v>
      </c>
      <c r="B23" s="41" t="s">
        <v>43</v>
      </c>
      <c r="C23" s="19"/>
      <c r="D23" s="15">
        <v>5000</v>
      </c>
      <c r="E23" s="26">
        <v>15000</v>
      </c>
      <c r="F23" s="40"/>
    </row>
    <row r="24" spans="1:11" x14ac:dyDescent="0.25">
      <c r="C24" s="42" t="s">
        <v>25</v>
      </c>
      <c r="D24" s="43"/>
      <c r="E24" s="44">
        <f>SUM(E13:E23)</f>
        <v>1456500</v>
      </c>
      <c r="F24">
        <f>E24*15%</f>
        <v>218475</v>
      </c>
    </row>
    <row r="25" spans="1:11" x14ac:dyDescent="0.25">
      <c r="C25" s="36" t="s">
        <v>49</v>
      </c>
      <c r="D25" s="38"/>
      <c r="E25" s="48">
        <v>1674975</v>
      </c>
      <c r="F25" s="48">
        <f>SUM(F24+E24)</f>
        <v>1674975</v>
      </c>
    </row>
    <row r="26" spans="1:11" x14ac:dyDescent="0.25">
      <c r="C26" s="5" t="s">
        <v>14</v>
      </c>
      <c r="D26" s="39"/>
      <c r="E26" s="48">
        <f>E25*18%</f>
        <v>301495.5</v>
      </c>
      <c r="F26" s="48">
        <f>F25*18%</f>
        <v>301495.5</v>
      </c>
    </row>
    <row r="27" spans="1:11" x14ac:dyDescent="0.25">
      <c r="C27" s="5" t="s">
        <v>15</v>
      </c>
      <c r="D27" s="39"/>
      <c r="E27" s="48">
        <f>SUM(E25:E26)</f>
        <v>1976470.5</v>
      </c>
      <c r="F27" s="48">
        <f>SUM(F25:F26)</f>
        <v>1976470.5</v>
      </c>
    </row>
    <row r="28" spans="1:11" s="49" customFormat="1" x14ac:dyDescent="0.25">
      <c r="C28" s="50"/>
      <c r="D28" s="50"/>
      <c r="E28" s="51"/>
    </row>
    <row r="30" spans="1:11" x14ac:dyDescent="0.25">
      <c r="A30" s="1" t="s">
        <v>0</v>
      </c>
      <c r="B30" s="1"/>
      <c r="C30" s="2"/>
      <c r="D30" s="2"/>
      <c r="E30" s="2"/>
      <c r="F30" s="3"/>
    </row>
    <row r="31" spans="1:11" x14ac:dyDescent="0.25">
      <c r="A31" s="4" t="s">
        <v>1</v>
      </c>
      <c r="B31" s="2" t="s">
        <v>44</v>
      </c>
      <c r="C31" s="33" t="s">
        <v>2</v>
      </c>
      <c r="D31" s="45"/>
      <c r="E31" s="46"/>
      <c r="F31" s="3"/>
    </row>
    <row r="32" spans="1:11" x14ac:dyDescent="0.25">
      <c r="A32" s="5" t="s">
        <v>3</v>
      </c>
      <c r="B32" s="5" t="s">
        <v>4</v>
      </c>
      <c r="C32" s="5" t="s">
        <v>5</v>
      </c>
      <c r="D32" s="5" t="s">
        <v>18</v>
      </c>
      <c r="E32" s="5" t="s">
        <v>29</v>
      </c>
      <c r="F32" s="5" t="s">
        <v>16</v>
      </c>
    </row>
    <row r="33" spans="1:6" x14ac:dyDescent="0.25">
      <c r="A33" s="2" t="s">
        <v>6</v>
      </c>
      <c r="B33" s="34" t="s">
        <v>30</v>
      </c>
      <c r="C33" s="31">
        <v>1</v>
      </c>
      <c r="D33" s="14" t="s">
        <v>31</v>
      </c>
      <c r="E33" s="35">
        <v>700000</v>
      </c>
      <c r="F33" s="3" t="s">
        <v>32</v>
      </c>
    </row>
    <row r="34" spans="1:6" x14ac:dyDescent="0.25">
      <c r="A34" s="2" t="s">
        <v>12</v>
      </c>
      <c r="B34" s="8" t="s">
        <v>21</v>
      </c>
      <c r="C34" s="12">
        <v>24</v>
      </c>
      <c r="D34" s="14">
        <v>95000</v>
      </c>
      <c r="E34" s="25">
        <v>2280000</v>
      </c>
      <c r="F34" s="3"/>
    </row>
    <row r="35" spans="1:6" x14ac:dyDescent="0.25">
      <c r="A35" s="2" t="s">
        <v>33</v>
      </c>
      <c r="B35" s="8"/>
      <c r="C35" s="31"/>
      <c r="D35" s="14"/>
      <c r="E35" s="25"/>
      <c r="F35" s="3"/>
    </row>
    <row r="36" spans="1:6" x14ac:dyDescent="0.25">
      <c r="A36" s="2"/>
      <c r="B36" s="9" t="s">
        <v>46</v>
      </c>
      <c r="C36" s="36" t="s">
        <v>25</v>
      </c>
      <c r="D36" s="37"/>
      <c r="E36" s="27">
        <f>SUM(E33:E35)</f>
        <v>2980000</v>
      </c>
      <c r="F36" s="3" t="s">
        <v>34</v>
      </c>
    </row>
    <row r="37" spans="1:6" ht="30" x14ac:dyDescent="0.25">
      <c r="A37" s="2"/>
      <c r="B37" s="2"/>
      <c r="C37" s="36" t="s">
        <v>17</v>
      </c>
      <c r="D37" s="38"/>
      <c r="E37" s="28">
        <v>3516400</v>
      </c>
      <c r="F37" s="3"/>
    </row>
    <row r="38" spans="1:6" ht="15.75" x14ac:dyDescent="0.25">
      <c r="A38" s="2"/>
      <c r="B38" s="2"/>
      <c r="C38" s="5" t="s">
        <v>14</v>
      </c>
      <c r="D38" s="39"/>
      <c r="E38" s="29">
        <v>632952</v>
      </c>
      <c r="F38" s="3"/>
    </row>
    <row r="39" spans="1:6" ht="15.75" x14ac:dyDescent="0.25">
      <c r="A39" s="2"/>
      <c r="B39" s="2"/>
      <c r="C39" s="5" t="s">
        <v>15</v>
      </c>
      <c r="D39" s="39"/>
      <c r="E39" s="29">
        <v>4149352</v>
      </c>
      <c r="F39" s="3"/>
    </row>
    <row r="40" spans="1:6" x14ac:dyDescent="0.25">
      <c r="C40"/>
      <c r="D40"/>
      <c r="E40"/>
    </row>
    <row r="41" spans="1:6" x14ac:dyDescent="0.25">
      <c r="C41"/>
      <c r="D41"/>
      <c r="E41"/>
    </row>
    <row r="42" spans="1:6" x14ac:dyDescent="0.25">
      <c r="A42" s="5" t="s">
        <v>3</v>
      </c>
      <c r="B42" s="5" t="s">
        <v>4</v>
      </c>
      <c r="C42" s="18" t="s">
        <v>5</v>
      </c>
      <c r="D42" s="13" t="s">
        <v>18</v>
      </c>
      <c r="E42" s="24" t="s">
        <v>15</v>
      </c>
      <c r="F42" s="5" t="s">
        <v>16</v>
      </c>
    </row>
    <row r="43" spans="1:6" x14ac:dyDescent="0.25">
      <c r="A43" s="2" t="s">
        <v>6</v>
      </c>
      <c r="B43" s="11" t="s">
        <v>35</v>
      </c>
      <c r="C43" s="12">
        <v>1</v>
      </c>
      <c r="D43" s="14">
        <v>99000</v>
      </c>
      <c r="E43" s="25">
        <v>99000</v>
      </c>
      <c r="F43" s="3" t="s">
        <v>32</v>
      </c>
    </row>
    <row r="44" spans="1:6" x14ac:dyDescent="0.25">
      <c r="A44" s="2" t="s">
        <v>7</v>
      </c>
      <c r="B44" s="10" t="s">
        <v>36</v>
      </c>
      <c r="C44" s="12">
        <v>1</v>
      </c>
      <c r="D44" s="14">
        <v>150000</v>
      </c>
      <c r="E44" s="25">
        <v>150000</v>
      </c>
      <c r="F44" s="3" t="s">
        <v>37</v>
      </c>
    </row>
    <row r="45" spans="1:6" ht="30" x14ac:dyDescent="0.25">
      <c r="A45" s="2" t="s">
        <v>8</v>
      </c>
      <c r="B45" s="6" t="s">
        <v>22</v>
      </c>
      <c r="C45" s="12">
        <v>2</v>
      </c>
      <c r="D45" s="14">
        <v>190000</v>
      </c>
      <c r="E45" s="25">
        <v>380000</v>
      </c>
      <c r="F45" s="3"/>
    </row>
    <row r="46" spans="1:6" x14ac:dyDescent="0.25">
      <c r="A46" s="2" t="s">
        <v>9</v>
      </c>
      <c r="B46" s="7" t="s">
        <v>38</v>
      </c>
      <c r="C46" s="12">
        <v>1</v>
      </c>
      <c r="D46" s="14">
        <v>6000</v>
      </c>
      <c r="E46" s="25">
        <v>6000</v>
      </c>
      <c r="F46" s="3"/>
    </row>
    <row r="47" spans="1:6" x14ac:dyDescent="0.25">
      <c r="A47" s="2" t="s">
        <v>10</v>
      </c>
      <c r="B47" s="8" t="s">
        <v>23</v>
      </c>
      <c r="C47" s="12">
        <v>4</v>
      </c>
      <c r="D47" s="14">
        <v>200000</v>
      </c>
      <c r="E47" s="25">
        <v>800000</v>
      </c>
      <c r="F47" s="3"/>
    </row>
    <row r="48" spans="1:6" x14ac:dyDescent="0.25">
      <c r="A48" s="2" t="s">
        <v>11</v>
      </c>
      <c r="B48" s="6" t="s">
        <v>20</v>
      </c>
      <c r="C48" s="12">
        <v>2</v>
      </c>
      <c r="D48" s="14">
        <v>50000</v>
      </c>
      <c r="E48" s="25">
        <v>100000</v>
      </c>
      <c r="F48" s="3"/>
    </row>
    <row r="49" spans="1:6" ht="30" x14ac:dyDescent="0.25">
      <c r="A49" s="2" t="s">
        <v>13</v>
      </c>
      <c r="B49" s="3" t="s">
        <v>39</v>
      </c>
      <c r="C49" s="19">
        <v>1</v>
      </c>
      <c r="D49" s="15">
        <v>63000</v>
      </c>
      <c r="E49" s="26">
        <v>100000</v>
      </c>
      <c r="F49" s="3"/>
    </row>
    <row r="50" spans="1:6" x14ac:dyDescent="0.25">
      <c r="A50" s="2" t="s">
        <v>40</v>
      </c>
      <c r="B50" s="3" t="s">
        <v>41</v>
      </c>
      <c r="C50" s="19">
        <v>1</v>
      </c>
      <c r="D50" s="15">
        <v>10000</v>
      </c>
      <c r="E50" s="26">
        <v>10000</v>
      </c>
      <c r="F50" s="40"/>
    </row>
    <row r="51" spans="1:6" x14ac:dyDescent="0.25">
      <c r="A51" s="2" t="s">
        <v>42</v>
      </c>
      <c r="B51" s="41" t="s">
        <v>43</v>
      </c>
      <c r="C51" s="19"/>
      <c r="D51" s="15">
        <v>5000</v>
      </c>
      <c r="E51" s="26">
        <v>5000</v>
      </c>
      <c r="F51" s="40"/>
    </row>
    <row r="52" spans="1:6" x14ac:dyDescent="0.25">
      <c r="C52" s="42" t="s">
        <v>25</v>
      </c>
      <c r="D52" s="43"/>
      <c r="E52" s="44">
        <f>SUM(E41:E51)</f>
        <v>1650000</v>
      </c>
    </row>
    <row r="53" spans="1:6" ht="30" x14ac:dyDescent="0.25">
      <c r="C53" s="36" t="s">
        <v>17</v>
      </c>
      <c r="D53" s="38"/>
      <c r="E53" s="28">
        <v>1897500</v>
      </c>
    </row>
    <row r="54" spans="1:6" ht="15.75" x14ac:dyDescent="0.25">
      <c r="C54" s="5" t="s">
        <v>14</v>
      </c>
      <c r="D54" s="39"/>
      <c r="E54" s="29">
        <v>341550</v>
      </c>
    </row>
    <row r="55" spans="1:6" ht="15.75" x14ac:dyDescent="0.25">
      <c r="C55" s="5" t="s">
        <v>15</v>
      </c>
      <c r="D55" s="39"/>
      <c r="E55" s="29">
        <v>2239050</v>
      </c>
    </row>
  </sheetData>
  <mergeCells count="2">
    <mergeCell ref="D3:E3"/>
    <mergeCell ref="D31:E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selection sqref="A1:XFD1048576"/>
    </sheetView>
  </sheetViews>
  <sheetFormatPr defaultRowHeight="15" x14ac:dyDescent="0.25"/>
  <cols>
    <col min="1" max="1" width="14.28515625" customWidth="1"/>
    <col min="2" max="2" width="53.7109375" customWidth="1"/>
    <col min="3" max="3" width="15.85546875" style="20" customWidth="1"/>
    <col min="4" max="4" width="13" style="20" customWidth="1"/>
    <col min="5" max="5" width="16.7109375" style="30" customWidth="1"/>
    <col min="6" max="6" width="30.42578125" customWidth="1"/>
  </cols>
  <sheetData>
    <row r="1" spans="1:6" x14ac:dyDescent="0.25">
      <c r="A1" s="1" t="s">
        <v>0</v>
      </c>
      <c r="B1" s="1"/>
      <c r="C1" s="11"/>
      <c r="D1" s="11"/>
      <c r="E1" s="23"/>
      <c r="F1" s="3"/>
    </row>
    <row r="2" spans="1:6" x14ac:dyDescent="0.25">
      <c r="A2" s="4" t="s">
        <v>1</v>
      </c>
      <c r="B2" s="2"/>
      <c r="C2" s="17" t="s">
        <v>2</v>
      </c>
      <c r="D2" s="45"/>
      <c r="E2" s="46"/>
      <c r="F2" s="3"/>
    </row>
    <row r="3" spans="1:6" x14ac:dyDescent="0.25">
      <c r="A3" s="5" t="s">
        <v>3</v>
      </c>
      <c r="B3" s="5" t="s">
        <v>4</v>
      </c>
      <c r="C3" s="18" t="s">
        <v>5</v>
      </c>
      <c r="D3" s="13" t="s">
        <v>18</v>
      </c>
      <c r="E3" s="24" t="s">
        <v>15</v>
      </c>
      <c r="F3" s="5" t="s">
        <v>16</v>
      </c>
    </row>
    <row r="4" spans="1:6" x14ac:dyDescent="0.25">
      <c r="A4" s="2" t="s">
        <v>6</v>
      </c>
      <c r="B4" s="11" t="s">
        <v>27</v>
      </c>
      <c r="C4" s="12">
        <v>1</v>
      </c>
      <c r="D4" s="14">
        <v>400000</v>
      </c>
      <c r="E4" s="25">
        <v>600000</v>
      </c>
      <c r="F4" s="3" t="s">
        <v>28</v>
      </c>
    </row>
    <row r="5" spans="1:6" ht="30" x14ac:dyDescent="0.25">
      <c r="A5" s="2" t="s">
        <v>7</v>
      </c>
      <c r="B5" s="10" t="s">
        <v>26</v>
      </c>
      <c r="C5" s="12">
        <v>1</v>
      </c>
      <c r="D5" s="14">
        <v>90000</v>
      </c>
      <c r="E5" s="25">
        <v>100000</v>
      </c>
      <c r="F5" s="3"/>
    </row>
    <row r="6" spans="1:6" ht="30" x14ac:dyDescent="0.25">
      <c r="A6" s="2" t="s">
        <v>8</v>
      </c>
      <c r="B6" s="6" t="s">
        <v>22</v>
      </c>
      <c r="C6" s="12">
        <v>1</v>
      </c>
      <c r="D6" s="14">
        <v>250000</v>
      </c>
      <c r="E6" s="25">
        <v>250000</v>
      </c>
      <c r="F6" s="3"/>
    </row>
    <row r="7" spans="1:6" x14ac:dyDescent="0.25">
      <c r="A7" s="2" t="s">
        <v>9</v>
      </c>
      <c r="B7" s="7" t="s">
        <v>24</v>
      </c>
      <c r="C7" s="12">
        <v>1</v>
      </c>
      <c r="D7" s="14">
        <v>7500</v>
      </c>
      <c r="E7" s="25">
        <v>7500</v>
      </c>
      <c r="F7" s="3"/>
    </row>
    <row r="8" spans="1:6" x14ac:dyDescent="0.25">
      <c r="A8" s="2" t="s">
        <v>10</v>
      </c>
      <c r="B8" s="8" t="s">
        <v>23</v>
      </c>
      <c r="C8" s="12">
        <v>4</v>
      </c>
      <c r="D8" s="14">
        <v>210000</v>
      </c>
      <c r="E8" s="25">
        <v>880000</v>
      </c>
      <c r="F8" s="3"/>
    </row>
    <row r="9" spans="1:6" x14ac:dyDescent="0.25">
      <c r="A9" s="2" t="s">
        <v>11</v>
      </c>
      <c r="B9" s="6" t="s">
        <v>20</v>
      </c>
      <c r="C9" s="12">
        <v>2</v>
      </c>
      <c r="D9" s="14">
        <v>50000</v>
      </c>
      <c r="E9" s="25">
        <v>100000</v>
      </c>
      <c r="F9" s="3"/>
    </row>
    <row r="10" spans="1:6" x14ac:dyDescent="0.25">
      <c r="A10" s="2" t="s">
        <v>12</v>
      </c>
      <c r="B10" s="8" t="s">
        <v>21</v>
      </c>
      <c r="C10" s="12">
        <v>24</v>
      </c>
      <c r="D10" s="14">
        <v>95000</v>
      </c>
      <c r="E10" s="25">
        <v>2280000</v>
      </c>
      <c r="F10" s="3"/>
    </row>
    <row r="11" spans="1:6" ht="17.25" customHeight="1" x14ac:dyDescent="0.25">
      <c r="A11" s="2" t="s">
        <v>13</v>
      </c>
      <c r="B11" s="3" t="s">
        <v>19</v>
      </c>
      <c r="C11" s="19">
        <v>1</v>
      </c>
      <c r="D11" s="15">
        <v>200000</v>
      </c>
      <c r="E11" s="26">
        <v>200000</v>
      </c>
      <c r="F11" s="3"/>
    </row>
    <row r="12" spans="1:6" ht="17.25" customHeight="1" x14ac:dyDescent="0.25">
      <c r="A12" s="2"/>
      <c r="B12" s="3" t="s">
        <v>47</v>
      </c>
      <c r="C12" s="19">
        <v>1</v>
      </c>
      <c r="D12" s="15">
        <v>5000</v>
      </c>
      <c r="E12" s="26">
        <v>5000</v>
      </c>
      <c r="F12" s="3"/>
    </row>
    <row r="13" spans="1:6" ht="16.149999999999999" customHeight="1" x14ac:dyDescent="0.25">
      <c r="A13" s="2"/>
      <c r="B13" s="9" t="s">
        <v>48</v>
      </c>
      <c r="C13" s="18" t="s">
        <v>25</v>
      </c>
      <c r="D13" s="21"/>
      <c r="E13" s="27">
        <f>SUM(E4:E12)</f>
        <v>4422500</v>
      </c>
      <c r="F13" s="3"/>
    </row>
    <row r="14" spans="1:6" ht="30" x14ac:dyDescent="0.25">
      <c r="A14" s="2"/>
      <c r="B14" s="2"/>
      <c r="C14" s="18" t="s">
        <v>17</v>
      </c>
      <c r="D14" s="16"/>
      <c r="E14" s="28">
        <v>5085900</v>
      </c>
      <c r="F14" s="3"/>
    </row>
    <row r="15" spans="1:6" ht="15.75" x14ac:dyDescent="0.25">
      <c r="A15" s="2"/>
      <c r="B15" s="2"/>
      <c r="C15" s="18" t="s">
        <v>14</v>
      </c>
      <c r="D15" s="22"/>
      <c r="E15" s="29">
        <v>915462</v>
      </c>
      <c r="F15" s="3"/>
    </row>
    <row r="16" spans="1:6" ht="15.75" x14ac:dyDescent="0.25">
      <c r="A16" s="2"/>
      <c r="B16" s="2"/>
      <c r="C16" s="18" t="s">
        <v>15</v>
      </c>
      <c r="D16" s="22"/>
      <c r="E16" s="29">
        <v>6001362</v>
      </c>
      <c r="F16" s="3"/>
    </row>
    <row r="18" spans="1:6" s="49" customFormat="1" x14ac:dyDescent="0.25">
      <c r="A18" s="52" t="s">
        <v>0</v>
      </c>
      <c r="B18" s="52"/>
      <c r="C18" s="53"/>
      <c r="D18" s="53"/>
      <c r="E18" s="53"/>
      <c r="F18" s="54"/>
    </row>
    <row r="19" spans="1:6" x14ac:dyDescent="0.25">
      <c r="A19" s="4" t="s">
        <v>1</v>
      </c>
      <c r="B19" s="2" t="s">
        <v>45</v>
      </c>
      <c r="C19" s="33" t="s">
        <v>2</v>
      </c>
      <c r="D19" s="45"/>
      <c r="E19" s="46"/>
      <c r="F19" s="3"/>
    </row>
    <row r="20" spans="1:6" x14ac:dyDescent="0.25">
      <c r="A20" s="5" t="s">
        <v>3</v>
      </c>
      <c r="B20" s="5" t="s">
        <v>4</v>
      </c>
      <c r="C20" s="5" t="s">
        <v>5</v>
      </c>
      <c r="D20" s="5" t="s">
        <v>18</v>
      </c>
      <c r="E20" s="5" t="s">
        <v>29</v>
      </c>
      <c r="F20" s="5" t="s">
        <v>16</v>
      </c>
    </row>
    <row r="21" spans="1:6" x14ac:dyDescent="0.25">
      <c r="A21" s="2" t="s">
        <v>6</v>
      </c>
      <c r="B21" s="34" t="s">
        <v>30</v>
      </c>
      <c r="C21" s="32">
        <v>1</v>
      </c>
      <c r="D21" s="14" t="s">
        <v>31</v>
      </c>
      <c r="E21" s="35">
        <v>700000</v>
      </c>
      <c r="F21" s="3" t="s">
        <v>32</v>
      </c>
    </row>
    <row r="22" spans="1:6" x14ac:dyDescent="0.25">
      <c r="A22" s="2" t="s">
        <v>12</v>
      </c>
      <c r="B22" s="8" t="s">
        <v>21</v>
      </c>
      <c r="C22" s="12">
        <v>48</v>
      </c>
      <c r="D22" s="14">
        <v>95000</v>
      </c>
      <c r="E22" s="27">
        <v>4608000</v>
      </c>
      <c r="F22" s="3"/>
    </row>
    <row r="23" spans="1:6" x14ac:dyDescent="0.25">
      <c r="A23" s="2" t="s">
        <v>33</v>
      </c>
      <c r="B23" s="8"/>
      <c r="C23" s="32"/>
      <c r="D23" s="14"/>
      <c r="E23" s="25"/>
      <c r="F23" s="3"/>
    </row>
    <row r="24" spans="1:6" x14ac:dyDescent="0.25">
      <c r="A24" s="2"/>
      <c r="B24" s="9" t="s">
        <v>45</v>
      </c>
      <c r="C24" s="36" t="s">
        <v>25</v>
      </c>
      <c r="D24" s="37"/>
      <c r="E24" s="27">
        <f>SUM(E21:E23)</f>
        <v>5308000</v>
      </c>
      <c r="F24" s="3" t="s">
        <v>34</v>
      </c>
    </row>
    <row r="25" spans="1:6" ht="30" x14ac:dyDescent="0.25">
      <c r="A25" s="2"/>
      <c r="B25" s="2"/>
      <c r="C25" s="36" t="s">
        <v>17</v>
      </c>
      <c r="D25" s="38"/>
      <c r="E25" s="28">
        <v>6245000</v>
      </c>
      <c r="F25" s="3"/>
    </row>
    <row r="26" spans="1:6" ht="15.75" x14ac:dyDescent="0.25">
      <c r="A26" s="2"/>
      <c r="B26" s="2"/>
      <c r="C26" s="5" t="s">
        <v>14</v>
      </c>
      <c r="D26" s="39"/>
      <c r="E26" s="29">
        <v>1124100</v>
      </c>
      <c r="F26" s="3"/>
    </row>
    <row r="27" spans="1:6" ht="15.75" x14ac:dyDescent="0.25">
      <c r="A27" s="2"/>
      <c r="B27" s="2"/>
      <c r="C27" s="5" t="s">
        <v>15</v>
      </c>
      <c r="D27" s="39"/>
      <c r="E27" s="29">
        <v>7369100</v>
      </c>
      <c r="F27" s="3"/>
    </row>
    <row r="28" spans="1:6" x14ac:dyDescent="0.25">
      <c r="C28"/>
      <c r="D28"/>
      <c r="E28"/>
    </row>
    <row r="29" spans="1:6" x14ac:dyDescent="0.25">
      <c r="C29"/>
      <c r="D29"/>
      <c r="E29"/>
    </row>
    <row r="30" spans="1:6" x14ac:dyDescent="0.25">
      <c r="A30" s="5" t="s">
        <v>3</v>
      </c>
      <c r="B30" s="5" t="s">
        <v>4</v>
      </c>
      <c r="C30" s="18" t="s">
        <v>5</v>
      </c>
      <c r="D30" s="13" t="s">
        <v>18</v>
      </c>
      <c r="E30" s="24" t="s">
        <v>15</v>
      </c>
      <c r="F30" s="5" t="s">
        <v>16</v>
      </c>
    </row>
    <row r="31" spans="1:6" x14ac:dyDescent="0.25">
      <c r="A31" s="2" t="s">
        <v>6</v>
      </c>
      <c r="B31" s="11" t="s">
        <v>35</v>
      </c>
      <c r="C31" s="12">
        <v>1</v>
      </c>
      <c r="D31" s="14">
        <v>99000</v>
      </c>
      <c r="E31" s="25">
        <v>99000</v>
      </c>
      <c r="F31" s="3" t="s">
        <v>32</v>
      </c>
    </row>
    <row r="32" spans="1:6" x14ac:dyDescent="0.25">
      <c r="A32" s="2" t="s">
        <v>7</v>
      </c>
      <c r="B32" s="10" t="s">
        <v>36</v>
      </c>
      <c r="C32" s="12">
        <v>1</v>
      </c>
      <c r="D32" s="14">
        <v>150000</v>
      </c>
      <c r="E32" s="25">
        <v>150000</v>
      </c>
      <c r="F32" s="3" t="s">
        <v>37</v>
      </c>
    </row>
    <row r="33" spans="1:11" ht="30" x14ac:dyDescent="0.25">
      <c r="A33" s="2" t="s">
        <v>8</v>
      </c>
      <c r="B33" s="47" t="s">
        <v>50</v>
      </c>
      <c r="C33" s="12">
        <v>2</v>
      </c>
      <c r="D33" s="14">
        <v>60300</v>
      </c>
      <c r="E33" s="25">
        <v>125000</v>
      </c>
      <c r="F33" s="3"/>
    </row>
    <row r="34" spans="1:11" x14ac:dyDescent="0.25">
      <c r="A34" s="2" t="s">
        <v>9</v>
      </c>
      <c r="B34" s="7" t="s">
        <v>38</v>
      </c>
      <c r="C34" s="12">
        <v>1</v>
      </c>
      <c r="D34" s="14">
        <v>6000</v>
      </c>
      <c r="E34" s="25">
        <v>7500</v>
      </c>
      <c r="F34" s="3"/>
    </row>
    <row r="35" spans="1:11" x14ac:dyDescent="0.25">
      <c r="A35" s="2" t="s">
        <v>10</v>
      </c>
      <c r="B35" s="8" t="s">
        <v>23</v>
      </c>
      <c r="C35" s="12">
        <v>4</v>
      </c>
      <c r="D35" s="14">
        <v>210000</v>
      </c>
      <c r="E35" s="25">
        <v>840000</v>
      </c>
      <c r="F35" s="3"/>
    </row>
    <row r="36" spans="1:11" x14ac:dyDescent="0.25">
      <c r="A36" s="2" t="s">
        <v>11</v>
      </c>
      <c r="B36" s="6" t="s">
        <v>20</v>
      </c>
      <c r="C36" s="12">
        <v>2</v>
      </c>
      <c r="D36" s="14">
        <v>55000</v>
      </c>
      <c r="E36" s="25">
        <v>110000</v>
      </c>
      <c r="F36" s="3"/>
    </row>
    <row r="37" spans="1:11" ht="30" x14ac:dyDescent="0.25">
      <c r="A37" s="2" t="s">
        <v>13</v>
      </c>
      <c r="B37" s="3" t="s">
        <v>39</v>
      </c>
      <c r="C37" s="19">
        <v>1</v>
      </c>
      <c r="D37" s="15">
        <v>63000</v>
      </c>
      <c r="E37" s="26">
        <v>100000</v>
      </c>
      <c r="F37" s="3"/>
      <c r="K37" t="s">
        <v>51</v>
      </c>
    </row>
    <row r="38" spans="1:11" x14ac:dyDescent="0.25">
      <c r="A38" s="2" t="s">
        <v>40</v>
      </c>
      <c r="B38" s="3" t="s">
        <v>41</v>
      </c>
      <c r="C38" s="19">
        <v>1</v>
      </c>
      <c r="D38" s="15">
        <v>10000</v>
      </c>
      <c r="E38" s="26">
        <v>10000</v>
      </c>
      <c r="F38" s="40"/>
    </row>
    <row r="39" spans="1:11" x14ac:dyDescent="0.25">
      <c r="A39" s="2" t="s">
        <v>42</v>
      </c>
      <c r="B39" s="41" t="s">
        <v>43</v>
      </c>
      <c r="C39" s="19"/>
      <c r="D39" s="15">
        <v>5000</v>
      </c>
      <c r="E39" s="26">
        <v>15000</v>
      </c>
      <c r="F39" s="40"/>
    </row>
    <row r="40" spans="1:11" x14ac:dyDescent="0.25">
      <c r="C40" s="42" t="s">
        <v>25</v>
      </c>
      <c r="D40" s="43"/>
      <c r="E40" s="44">
        <f>SUM(E29:E39)</f>
        <v>1456500</v>
      </c>
      <c r="F40">
        <f>E40*15%</f>
        <v>218475</v>
      </c>
    </row>
    <row r="41" spans="1:11" x14ac:dyDescent="0.25">
      <c r="C41" s="36" t="s">
        <v>49</v>
      </c>
      <c r="D41" s="38"/>
      <c r="E41" s="28"/>
      <c r="F41" s="48">
        <f>SUM(F40+E40)</f>
        <v>1674975</v>
      </c>
    </row>
    <row r="42" spans="1:11" ht="15.75" x14ac:dyDescent="0.25">
      <c r="C42" s="5" t="s">
        <v>14</v>
      </c>
      <c r="D42" s="39"/>
      <c r="E42" s="29"/>
      <c r="F42" s="48">
        <f>F41*18%</f>
        <v>301495.5</v>
      </c>
    </row>
    <row r="43" spans="1:11" ht="15.75" x14ac:dyDescent="0.25">
      <c r="C43" s="5" t="s">
        <v>15</v>
      </c>
      <c r="D43" s="39"/>
      <c r="E43" s="29"/>
      <c r="F43" s="48">
        <f>SUM(F41:F42)</f>
        <v>1976470.5</v>
      </c>
    </row>
    <row r="44" spans="1:11" s="49" customFormat="1" x14ac:dyDescent="0.25">
      <c r="C44" s="50"/>
      <c r="D44" s="50"/>
      <c r="E44" s="51"/>
    </row>
    <row r="46" spans="1:11" x14ac:dyDescent="0.25">
      <c r="A46" s="1" t="s">
        <v>0</v>
      </c>
      <c r="B46" s="1"/>
      <c r="C46" s="2"/>
      <c r="D46" s="2"/>
      <c r="E46" s="2"/>
      <c r="F46" s="3"/>
    </row>
    <row r="47" spans="1:11" x14ac:dyDescent="0.25">
      <c r="A47" s="4" t="s">
        <v>1</v>
      </c>
      <c r="B47" s="2" t="s">
        <v>44</v>
      </c>
      <c r="C47" s="33" t="s">
        <v>2</v>
      </c>
      <c r="D47" s="45"/>
      <c r="E47" s="46"/>
      <c r="F47" s="3"/>
    </row>
    <row r="48" spans="1:11" x14ac:dyDescent="0.25">
      <c r="A48" s="5" t="s">
        <v>3</v>
      </c>
      <c r="B48" s="5" t="s">
        <v>4</v>
      </c>
      <c r="C48" s="5" t="s">
        <v>5</v>
      </c>
      <c r="D48" s="5" t="s">
        <v>18</v>
      </c>
      <c r="E48" s="5" t="s">
        <v>29</v>
      </c>
      <c r="F48" s="5" t="s">
        <v>16</v>
      </c>
    </row>
    <row r="49" spans="1:6" x14ac:dyDescent="0.25">
      <c r="A49" s="2" t="s">
        <v>6</v>
      </c>
      <c r="B49" s="34" t="s">
        <v>30</v>
      </c>
      <c r="C49" s="32">
        <v>1</v>
      </c>
      <c r="D49" s="14" t="s">
        <v>31</v>
      </c>
      <c r="E49" s="35">
        <v>700000</v>
      </c>
      <c r="F49" s="3" t="s">
        <v>32</v>
      </c>
    </row>
    <row r="50" spans="1:6" x14ac:dyDescent="0.25">
      <c r="A50" s="2" t="s">
        <v>12</v>
      </c>
      <c r="B50" s="8" t="s">
        <v>21</v>
      </c>
      <c r="C50" s="12">
        <v>24</v>
      </c>
      <c r="D50" s="14">
        <v>95000</v>
      </c>
      <c r="E50" s="25">
        <v>2280000</v>
      </c>
      <c r="F50" s="3"/>
    </row>
    <row r="51" spans="1:6" x14ac:dyDescent="0.25">
      <c r="A51" s="2" t="s">
        <v>33</v>
      </c>
      <c r="B51" s="8"/>
      <c r="C51" s="32"/>
      <c r="D51" s="14"/>
      <c r="E51" s="25"/>
      <c r="F51" s="3"/>
    </row>
    <row r="52" spans="1:6" x14ac:dyDescent="0.25">
      <c r="A52" s="2"/>
      <c r="B52" s="9" t="s">
        <v>46</v>
      </c>
      <c r="C52" s="36" t="s">
        <v>25</v>
      </c>
      <c r="D52" s="37"/>
      <c r="E52" s="27">
        <f>SUM(E49:E51)</f>
        <v>2980000</v>
      </c>
      <c r="F52" s="3" t="s">
        <v>34</v>
      </c>
    </row>
    <row r="53" spans="1:6" ht="30" x14ac:dyDescent="0.25">
      <c r="A53" s="2"/>
      <c r="B53" s="2"/>
      <c r="C53" s="36" t="s">
        <v>17</v>
      </c>
      <c r="D53" s="38"/>
      <c r="E53" s="28">
        <v>3516400</v>
      </c>
      <c r="F53" s="3"/>
    </row>
    <row r="54" spans="1:6" ht="15.75" x14ac:dyDescent="0.25">
      <c r="A54" s="2"/>
      <c r="B54" s="2"/>
      <c r="C54" s="5" t="s">
        <v>14</v>
      </c>
      <c r="D54" s="39"/>
      <c r="E54" s="29">
        <v>632952</v>
      </c>
      <c r="F54" s="3"/>
    </row>
    <row r="55" spans="1:6" ht="15.75" x14ac:dyDescent="0.25">
      <c r="A55" s="2"/>
      <c r="B55" s="2"/>
      <c r="C55" s="5" t="s">
        <v>15</v>
      </c>
      <c r="D55" s="39"/>
      <c r="E55" s="29">
        <v>4149352</v>
      </c>
      <c r="F55" s="3"/>
    </row>
    <row r="56" spans="1:6" x14ac:dyDescent="0.25">
      <c r="C56"/>
      <c r="D56"/>
      <c r="E56"/>
    </row>
    <row r="57" spans="1:6" x14ac:dyDescent="0.25">
      <c r="C57"/>
      <c r="D57"/>
      <c r="E57"/>
    </row>
    <row r="58" spans="1:6" x14ac:dyDescent="0.25">
      <c r="A58" s="5" t="s">
        <v>3</v>
      </c>
      <c r="B58" s="5" t="s">
        <v>4</v>
      </c>
      <c r="C58" s="18" t="s">
        <v>5</v>
      </c>
      <c r="D58" s="13" t="s">
        <v>18</v>
      </c>
      <c r="E58" s="24" t="s">
        <v>15</v>
      </c>
      <c r="F58" s="5" t="s">
        <v>16</v>
      </c>
    </row>
    <row r="59" spans="1:6" x14ac:dyDescent="0.25">
      <c r="A59" s="2" t="s">
        <v>6</v>
      </c>
      <c r="B59" s="11" t="s">
        <v>35</v>
      </c>
      <c r="C59" s="12">
        <v>1</v>
      </c>
      <c r="D59" s="14">
        <v>99000</v>
      </c>
      <c r="E59" s="25">
        <v>99000</v>
      </c>
      <c r="F59" s="3" t="s">
        <v>32</v>
      </c>
    </row>
    <row r="60" spans="1:6" x14ac:dyDescent="0.25">
      <c r="A60" s="2" t="s">
        <v>7</v>
      </c>
      <c r="B60" s="10" t="s">
        <v>36</v>
      </c>
      <c r="C60" s="12">
        <v>1</v>
      </c>
      <c r="D60" s="14">
        <v>150000</v>
      </c>
      <c r="E60" s="25">
        <v>150000</v>
      </c>
      <c r="F60" s="3" t="s">
        <v>37</v>
      </c>
    </row>
    <row r="61" spans="1:6" ht="30" x14ac:dyDescent="0.25">
      <c r="A61" s="2" t="s">
        <v>8</v>
      </c>
      <c r="B61" s="6" t="s">
        <v>22</v>
      </c>
      <c r="C61" s="12">
        <v>2</v>
      </c>
      <c r="D61" s="14">
        <v>190000</v>
      </c>
      <c r="E61" s="25">
        <v>380000</v>
      </c>
      <c r="F61" s="3"/>
    </row>
    <row r="62" spans="1:6" x14ac:dyDescent="0.25">
      <c r="A62" s="2" t="s">
        <v>9</v>
      </c>
      <c r="B62" s="7" t="s">
        <v>38</v>
      </c>
      <c r="C62" s="12">
        <v>1</v>
      </c>
      <c r="D62" s="14">
        <v>6000</v>
      </c>
      <c r="E62" s="25">
        <v>6000</v>
      </c>
      <c r="F62" s="3"/>
    </row>
    <row r="63" spans="1:6" x14ac:dyDescent="0.25">
      <c r="A63" s="2" t="s">
        <v>10</v>
      </c>
      <c r="B63" s="8" t="s">
        <v>23</v>
      </c>
      <c r="C63" s="12">
        <v>4</v>
      </c>
      <c r="D63" s="14">
        <v>200000</v>
      </c>
      <c r="E63" s="25">
        <v>800000</v>
      </c>
      <c r="F63" s="3"/>
    </row>
    <row r="64" spans="1:6" x14ac:dyDescent="0.25">
      <c r="A64" s="2" t="s">
        <v>11</v>
      </c>
      <c r="B64" s="6" t="s">
        <v>20</v>
      </c>
      <c r="C64" s="12">
        <v>2</v>
      </c>
      <c r="D64" s="14">
        <v>50000</v>
      </c>
      <c r="E64" s="25">
        <v>100000</v>
      </c>
      <c r="F64" s="3"/>
    </row>
    <row r="65" spans="1:6" ht="30" x14ac:dyDescent="0.25">
      <c r="A65" s="2" t="s">
        <v>13</v>
      </c>
      <c r="B65" s="3" t="s">
        <v>39</v>
      </c>
      <c r="C65" s="19">
        <v>1</v>
      </c>
      <c r="D65" s="15">
        <v>63000</v>
      </c>
      <c r="E65" s="26">
        <v>100000</v>
      </c>
      <c r="F65" s="3"/>
    </row>
    <row r="66" spans="1:6" x14ac:dyDescent="0.25">
      <c r="A66" s="2" t="s">
        <v>40</v>
      </c>
      <c r="B66" s="3" t="s">
        <v>41</v>
      </c>
      <c r="C66" s="19">
        <v>1</v>
      </c>
      <c r="D66" s="15">
        <v>10000</v>
      </c>
      <c r="E66" s="26">
        <v>10000</v>
      </c>
      <c r="F66" s="40"/>
    </row>
    <row r="67" spans="1:6" x14ac:dyDescent="0.25">
      <c r="A67" s="2" t="s">
        <v>42</v>
      </c>
      <c r="B67" s="41" t="s">
        <v>43</v>
      </c>
      <c r="C67" s="19"/>
      <c r="D67" s="15">
        <v>5000</v>
      </c>
      <c r="E67" s="26">
        <v>5000</v>
      </c>
      <c r="F67" s="40"/>
    </row>
    <row r="68" spans="1:6" x14ac:dyDescent="0.25">
      <c r="C68" s="42" t="s">
        <v>25</v>
      </c>
      <c r="D68" s="43"/>
      <c r="E68" s="44">
        <f>SUM(E57:E67)</f>
        <v>1650000</v>
      </c>
    </row>
    <row r="69" spans="1:6" ht="30" x14ac:dyDescent="0.25">
      <c r="C69" s="36" t="s">
        <v>17</v>
      </c>
      <c r="D69" s="38"/>
      <c r="E69" s="28">
        <v>1897500</v>
      </c>
    </row>
    <row r="70" spans="1:6" ht="15.75" x14ac:dyDescent="0.25">
      <c r="C70" s="5" t="s">
        <v>14</v>
      </c>
      <c r="D70" s="39"/>
      <c r="E70" s="29">
        <v>341550</v>
      </c>
    </row>
    <row r="71" spans="1:6" ht="15.75" x14ac:dyDescent="0.25">
      <c r="C71" s="5" t="s">
        <v>15</v>
      </c>
      <c r="D71" s="39"/>
      <c r="E71" s="29">
        <v>2239050</v>
      </c>
    </row>
  </sheetData>
  <mergeCells count="3">
    <mergeCell ref="D2:E2"/>
    <mergeCell ref="D19:E19"/>
    <mergeCell ref="D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2026-08-22T14:21:28Z</dcterms:modified>
</cp:coreProperties>
</file>