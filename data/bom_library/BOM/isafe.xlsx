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minimized="1" xWindow="-105" yWindow="-105" windowWidth="20595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48" i="1" s="1"/>
  <c r="E40" i="1"/>
  <c r="E39" i="1"/>
  <c r="E44" i="1" s="1"/>
  <c r="E45" i="1" s="1"/>
  <c r="E24" i="1" l="1"/>
  <c r="E25" i="1"/>
  <c r="E29" i="1" s="1"/>
  <c r="E30" i="1" s="1"/>
  <c r="E9" i="1" l="1"/>
  <c r="E32" i="1" l="1"/>
  <c r="E33" i="1" s="1"/>
  <c r="E13" i="1"/>
  <c r="E14" i="1" s="1"/>
  <c r="E15" i="1" s="1"/>
  <c r="E16" i="1" l="1"/>
  <c r="E17" i="1" l="1"/>
</calcChain>
</file>

<file path=xl/sharedStrings.xml><?xml version="1.0" encoding="utf-8"?>
<sst xmlns="http://schemas.openxmlformats.org/spreadsheetml/2006/main" count="70" uniqueCount="34">
  <si>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</si>
  <si>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</si>
  <si>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</si>
  <si>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</si>
  <si>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</si>
  <si>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</si>
  <si>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</si>
  <si>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</si>
  <si>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</si>
  <si>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</si>
  <si>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</si>
  <si>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</si>
  <si>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</si>
  <si>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</si>
  <si>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</si>
  <si>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</si>
  <si>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</si>
  <si>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</si>
  <si>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</si>
  <si>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</si>
  <si>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 xml:space="preserve"> 4 x 960GB SAS HDD</t>
  </si>
  <si>
    <t>64GB DDR5 4800MHz</t>
  </si>
  <si>
    <t>AMD EPYC™ 9124(16-Cores, Base Freq 3.00GHz, Max Freq 3.70GHz, Cache 64)</t>
  </si>
  <si>
    <t>J10</t>
  </si>
  <si>
    <t xml:space="preserve">2U Rack Mountable Chassis </t>
  </si>
  <si>
    <t>ASUS K14PA-U12  AMD SoC Chipset  2 x SFP28 25Gb/s  3 x PCIe 5.0  (x16 link, FL)</t>
  </si>
  <si>
    <t>1200W RPS</t>
  </si>
  <si>
    <t>9460-16i</t>
  </si>
  <si>
    <t>800W RPS</t>
  </si>
  <si>
    <t xml:space="preserve"> 4 x 960GB SATA SSD</t>
  </si>
  <si>
    <t xml:space="preserve">Intel® Xeon® Gold 6230R Processor (26-Cores, Base Freq 2.10GHz, Max Freq 4.00GHz, 35.75MB Cache) </t>
  </si>
  <si>
    <t>X11SPL-F Super micro</t>
  </si>
  <si>
    <t>16GB DDR4 2933MHz</t>
  </si>
  <si>
    <t>4U Rack Mountable Chassis Tower convertible chenbro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</si>
</sst>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0" fontId="0" fillId="0" borderId="1" xfId="0" applyBorder="1"/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vertical="top" wrapText="1"/>
    </xf>
    <xf numFmtId="3" fontId="0" fillId="0" borderId="1" xfId="0" applyNumberFormat="1" applyFont="1" applyBorder="1" applyAlignment="1">
      <alignment horizontal="right" vertical="center" wrapText="1"/>
    </xf>
    <xf numFmtId="0" fontId="0" fillId="0" borderId="1" xfId="0" applyFont="1" applyBorder="1" applyAlignment="1">
      <alignment vertical="top"/>
    </xf>
    <xf numFmtId="0" fontId="1" fillId="0" borderId="0" xfId="0" applyFont="1"/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topLeftCell="A28" zoomScaleNormal="100" workbookViewId="0">
      <selection activeCell="E32" sqref="E31:E33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8"/>
      <c r="E2" s="2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9" t="s">
        <v>24</v>
      </c>
      <c r="C4" s="20">
        <v>1</v>
      </c>
      <c r="D4" s="21">
        <v>99000</v>
      </c>
      <c r="E4" s="22">
        <v>99000</v>
      </c>
      <c r="F4" s="10"/>
    </row>
    <row r="5" spans="1:6" ht="30" x14ac:dyDescent="0.25">
      <c r="A5" s="9" t="s">
        <v>8</v>
      </c>
      <c r="B5" s="23" t="s">
        <v>25</v>
      </c>
      <c r="C5" s="20">
        <v>1</v>
      </c>
      <c r="D5" s="21">
        <v>72500</v>
      </c>
      <c r="E5" s="22">
        <v>72500</v>
      </c>
      <c r="F5" s="10"/>
    </row>
    <row r="6" spans="1:6" ht="30" x14ac:dyDescent="0.25">
      <c r="A6" s="9" t="s">
        <v>9</v>
      </c>
      <c r="B6" s="24" t="s">
        <v>22</v>
      </c>
      <c r="C6" s="20">
        <v>1</v>
      </c>
      <c r="D6" s="21">
        <v>62000</v>
      </c>
      <c r="E6" s="25">
        <v>62000</v>
      </c>
      <c r="F6" s="10"/>
    </row>
    <row r="7" spans="1:6" ht="15.75" x14ac:dyDescent="0.25">
      <c r="A7" s="9" t="s">
        <v>10</v>
      </c>
      <c r="B7" s="3" t="s">
        <v>23</v>
      </c>
      <c r="C7" s="20">
        <v>1</v>
      </c>
      <c r="D7" s="21">
        <v>7500</v>
      </c>
      <c r="E7" s="22">
        <v>7500</v>
      </c>
      <c r="F7" s="10"/>
    </row>
    <row r="8" spans="1:6" ht="15.75" x14ac:dyDescent="0.25">
      <c r="A8" s="9" t="s">
        <v>11</v>
      </c>
      <c r="B8" s="26" t="s">
        <v>21</v>
      </c>
      <c r="C8" s="20">
        <v>2</v>
      </c>
      <c r="D8" s="21">
        <v>225000</v>
      </c>
      <c r="E8" s="25">
        <v>410000</v>
      </c>
      <c r="F8" s="10"/>
    </row>
    <row r="9" spans="1:6" ht="15.75" x14ac:dyDescent="0.25">
      <c r="A9" s="9" t="s">
        <v>12</v>
      </c>
      <c r="B9" s="24" t="s">
        <v>20</v>
      </c>
      <c r="C9" s="20">
        <v>4</v>
      </c>
      <c r="D9" s="21">
        <v>95000</v>
      </c>
      <c r="E9" s="22">
        <f>D9*4</f>
        <v>380000</v>
      </c>
      <c r="F9" s="10"/>
    </row>
    <row r="10" spans="1:6" ht="15.75" x14ac:dyDescent="0.25">
      <c r="A10" s="9" t="s">
        <v>13</v>
      </c>
      <c r="B10" s="27" t="s">
        <v>26</v>
      </c>
      <c r="C10" s="20">
        <v>1</v>
      </c>
      <c r="D10" s="21">
        <v>0</v>
      </c>
      <c r="E10" s="22">
        <v>20000</v>
      </c>
      <c r="F10" s="10"/>
    </row>
    <row r="11" spans="1:6" ht="15.75" x14ac:dyDescent="0.25">
      <c r="A11" s="9"/>
      <c r="B11" s="24" t="s">
        <v>27</v>
      </c>
      <c r="C11" s="20">
        <v>1</v>
      </c>
      <c r="D11" s="21">
        <v>67500</v>
      </c>
      <c r="E11" s="22">
        <v>70000</v>
      </c>
      <c r="F11" s="10"/>
    </row>
    <row r="12" spans="1:6" ht="14.25" customHeight="1" x14ac:dyDescent="0.25">
      <c r="A12" s="9"/>
      <c r="B12" s="24"/>
      <c r="C12" s="20"/>
      <c r="D12" s="21"/>
      <c r="E12" s="22"/>
      <c r="F12" s="10"/>
    </row>
    <row r="13" spans="1:6" ht="16.149999999999999" customHeight="1" x14ac:dyDescent="0.25">
      <c r="A13" s="9"/>
      <c r="B13" s="11"/>
      <c r="C13" s="12" t="s">
        <v>17</v>
      </c>
      <c r="D13" s="13"/>
      <c r="E13" s="8">
        <f>SUM(E4:E12)</f>
        <v>1121000</v>
      </c>
      <c r="F13" s="10"/>
    </row>
    <row r="14" spans="1:6" ht="16.149999999999999" customHeight="1" x14ac:dyDescent="0.25">
      <c r="A14" s="9"/>
      <c r="B14" s="11"/>
      <c r="C14" s="18">
        <v>0.15</v>
      </c>
      <c r="D14" s="13"/>
      <c r="E14" s="14">
        <f>E13*15%</f>
        <v>168150</v>
      </c>
      <c r="F14" s="10"/>
    </row>
    <row r="15" spans="1:6" ht="18" customHeight="1" x14ac:dyDescent="0.25">
      <c r="A15" s="9"/>
      <c r="B15" s="9"/>
      <c r="C15" s="12" t="s">
        <v>18</v>
      </c>
      <c r="D15" s="15"/>
      <c r="E15" s="8">
        <f>SUM(E13:E14)</f>
        <v>1289150</v>
      </c>
      <c r="F15" s="10"/>
    </row>
    <row r="16" spans="1:6" ht="15.75" x14ac:dyDescent="0.25">
      <c r="A16" s="9"/>
      <c r="B16" s="9"/>
      <c r="C16" s="16" t="s">
        <v>14</v>
      </c>
      <c r="D16" s="17"/>
      <c r="E16" s="7">
        <f>E15*18%</f>
        <v>232047</v>
      </c>
      <c r="F16" s="10"/>
    </row>
    <row r="17" spans="1:6" ht="15.75" x14ac:dyDescent="0.25">
      <c r="A17" s="9"/>
      <c r="B17" s="9"/>
      <c r="C17" s="16" t="s">
        <v>15</v>
      </c>
      <c r="D17" s="17"/>
      <c r="E17" s="7">
        <f>SUM(E15:E16)</f>
        <v>1521197</v>
      </c>
      <c r="F17" s="10"/>
    </row>
    <row r="19" spans="1:6" x14ac:dyDescent="0.25">
      <c r="A19" s="6" t="s">
        <v>3</v>
      </c>
      <c r="B19" s="6" t="s">
        <v>4</v>
      </c>
      <c r="C19" s="6" t="s">
        <v>5</v>
      </c>
      <c r="D19" s="6" t="s">
        <v>16</v>
      </c>
      <c r="E19" s="6" t="s">
        <v>6</v>
      </c>
      <c r="F19" s="6" t="s">
        <v>19</v>
      </c>
    </row>
    <row r="20" spans="1:6" ht="15.75" x14ac:dyDescent="0.25">
      <c r="A20" s="9" t="s">
        <v>7</v>
      </c>
      <c r="B20" s="19" t="s">
        <v>24</v>
      </c>
      <c r="C20" s="20">
        <v>1</v>
      </c>
      <c r="D20" s="21">
        <v>99000</v>
      </c>
      <c r="E20" s="22">
        <v>99000</v>
      </c>
      <c r="F20" s="10"/>
    </row>
    <row r="21" spans="1:6" ht="15.75" x14ac:dyDescent="0.25">
      <c r="A21" s="9" t="s">
        <v>8</v>
      </c>
      <c r="B21" s="23" t="s">
        <v>31</v>
      </c>
      <c r="C21" s="20">
        <v>1</v>
      </c>
      <c r="D21" s="21">
        <v>62000</v>
      </c>
      <c r="E21" s="22">
        <v>62000</v>
      </c>
      <c r="F21" s="10"/>
    </row>
    <row r="22" spans="1:6" ht="30" x14ac:dyDescent="0.25">
      <c r="A22" s="9" t="s">
        <v>9</v>
      </c>
      <c r="B22" s="24" t="s">
        <v>30</v>
      </c>
      <c r="C22" s="20">
        <v>1</v>
      </c>
      <c r="D22" s="21">
        <v>27000</v>
      </c>
      <c r="E22" s="25">
        <v>27000</v>
      </c>
      <c r="F22" s="10"/>
    </row>
    <row r="23" spans="1:6" ht="15.75" x14ac:dyDescent="0.25">
      <c r="A23" s="9" t="s">
        <v>10</v>
      </c>
      <c r="B23" s="3"/>
      <c r="C23" s="20">
        <v>1</v>
      </c>
      <c r="D23" s="21">
        <v>7500</v>
      </c>
      <c r="E23" s="22">
        <v>7500</v>
      </c>
      <c r="F23" s="10"/>
    </row>
    <row r="24" spans="1:6" ht="15.75" x14ac:dyDescent="0.25">
      <c r="A24" s="9" t="s">
        <v>11</v>
      </c>
      <c r="B24" s="26" t="s">
        <v>32</v>
      </c>
      <c r="C24" s="20">
        <v>4</v>
      </c>
      <c r="D24" s="21">
        <v>10000</v>
      </c>
      <c r="E24" s="25">
        <f>D24*4</f>
        <v>40000</v>
      </c>
      <c r="F24" s="10"/>
    </row>
    <row r="25" spans="1:6" ht="15.75" x14ac:dyDescent="0.25">
      <c r="A25" s="9" t="s">
        <v>12</v>
      </c>
      <c r="B25" s="24" t="s">
        <v>29</v>
      </c>
      <c r="C25" s="20">
        <v>4</v>
      </c>
      <c r="D25" s="21">
        <v>55000</v>
      </c>
      <c r="E25" s="22">
        <f>D25*4</f>
        <v>220000</v>
      </c>
      <c r="F25" s="10"/>
    </row>
    <row r="26" spans="1:6" ht="15.75" x14ac:dyDescent="0.25">
      <c r="A26" s="9" t="s">
        <v>13</v>
      </c>
      <c r="B26" s="27" t="s">
        <v>28</v>
      </c>
      <c r="C26" s="20">
        <v>1</v>
      </c>
      <c r="D26" s="21">
        <v>0</v>
      </c>
      <c r="E26" s="22">
        <v>24500</v>
      </c>
      <c r="F26" s="10"/>
    </row>
    <row r="27" spans="1:6" ht="15.75" x14ac:dyDescent="0.25">
      <c r="A27" s="9"/>
      <c r="B27" s="24" t="s">
        <v>27</v>
      </c>
      <c r="C27" s="20">
        <v>1</v>
      </c>
      <c r="D27" s="21">
        <v>67500</v>
      </c>
      <c r="E27" s="22">
        <v>70000</v>
      </c>
      <c r="F27" s="10"/>
    </row>
    <row r="28" spans="1:6" ht="15.75" x14ac:dyDescent="0.25">
      <c r="A28" s="9"/>
      <c r="B28" s="24"/>
      <c r="C28" s="20"/>
      <c r="D28" s="21"/>
      <c r="E28" s="22"/>
      <c r="F28" s="10"/>
    </row>
    <row r="29" spans="1:6" ht="15.75" x14ac:dyDescent="0.25">
      <c r="A29" s="9"/>
      <c r="B29" s="11"/>
      <c r="C29" s="12" t="s">
        <v>17</v>
      </c>
      <c r="D29" s="13"/>
      <c r="E29" s="8">
        <f>SUM(E20:E28)</f>
        <v>550000</v>
      </c>
      <c r="F29" s="10"/>
    </row>
    <row r="30" spans="1:6" ht="15.75" x14ac:dyDescent="0.25">
      <c r="A30" s="9"/>
      <c r="B30" s="11"/>
      <c r="C30" s="18">
        <v>0.15</v>
      </c>
      <c r="D30" s="13"/>
      <c r="E30" s="14">
        <f>E29*27%</f>
        <v>148500</v>
      </c>
      <c r="F30" s="10"/>
    </row>
    <row r="31" spans="1:6" ht="15.75" x14ac:dyDescent="0.25">
      <c r="A31" s="9"/>
      <c r="B31" s="9"/>
      <c r="C31" s="12" t="s">
        <v>18</v>
      </c>
      <c r="D31" s="15"/>
      <c r="E31" s="8">
        <v>700000</v>
      </c>
      <c r="F31" s="10"/>
    </row>
    <row r="32" spans="1:6" ht="15.75" x14ac:dyDescent="0.25">
      <c r="A32" s="9"/>
      <c r="B32" s="9"/>
      <c r="C32" s="16" t="s">
        <v>14</v>
      </c>
      <c r="D32" s="17"/>
      <c r="E32" s="7">
        <f>E31*18%</f>
        <v>126000</v>
      </c>
      <c r="F32" s="10"/>
    </row>
    <row r="33" spans="1:6" ht="15.75" x14ac:dyDescent="0.25">
      <c r="A33" s="9"/>
      <c r="B33" s="9"/>
      <c r="C33" s="16" t="s">
        <v>15</v>
      </c>
      <c r="D33" s="17"/>
      <c r="E33" s="7">
        <f>SUM(E31:E32)</f>
        <v>826000</v>
      </c>
      <c r="F33" s="10"/>
    </row>
    <row r="35" spans="1:6" ht="15.75" x14ac:dyDescent="0.25">
      <c r="A35" s="9" t="s">
        <v>7</v>
      </c>
      <c r="B35" s="19" t="s">
        <v>33</v>
      </c>
      <c r="C35" s="20">
        <v>1</v>
      </c>
      <c r="D35" s="21">
        <v>99000</v>
      </c>
      <c r="E35" s="22">
        <v>99000</v>
      </c>
      <c r="F35" s="10"/>
    </row>
    <row r="36" spans="1:6" ht="15.75" x14ac:dyDescent="0.25">
      <c r="A36" s="9" t="s">
        <v>8</v>
      </c>
      <c r="B36" s="23" t="s">
        <v>31</v>
      </c>
      <c r="C36" s="20">
        <v>1</v>
      </c>
      <c r="D36" s="21">
        <v>62000</v>
      </c>
      <c r="E36" s="22">
        <v>62000</v>
      </c>
      <c r="F36" s="10"/>
    </row>
    <row r="37" spans="1:6" ht="30" x14ac:dyDescent="0.25">
      <c r="A37" s="9" t="s">
        <v>9</v>
      </c>
      <c r="B37" s="24" t="s">
        <v>30</v>
      </c>
      <c r="C37" s="20">
        <v>1</v>
      </c>
      <c r="D37" s="21">
        <v>27000</v>
      </c>
      <c r="E37" s="25">
        <v>27000</v>
      </c>
      <c r="F37" s="10"/>
    </row>
    <row r="38" spans="1:6" ht="15.75" x14ac:dyDescent="0.25">
      <c r="A38" s="9" t="s">
        <v>10</v>
      </c>
      <c r="B38" s="3"/>
      <c r="C38" s="20">
        <v>1</v>
      </c>
      <c r="D38" s="21">
        <v>7500</v>
      </c>
      <c r="E38" s="22">
        <v>7500</v>
      </c>
      <c r="F38" s="10"/>
    </row>
    <row r="39" spans="1:6" ht="15.75" x14ac:dyDescent="0.25">
      <c r="A39" s="9" t="s">
        <v>11</v>
      </c>
      <c r="B39" s="26" t="s">
        <v>32</v>
      </c>
      <c r="C39" s="20">
        <v>4</v>
      </c>
      <c r="D39" s="21">
        <v>10000</v>
      </c>
      <c r="E39" s="25">
        <f>D39*4</f>
        <v>40000</v>
      </c>
      <c r="F39" s="10"/>
    </row>
    <row r="40" spans="1:6" ht="15.75" x14ac:dyDescent="0.25">
      <c r="A40" s="9" t="s">
        <v>12</v>
      </c>
      <c r="B40" s="24" t="s">
        <v>29</v>
      </c>
      <c r="C40" s="20">
        <v>4</v>
      </c>
      <c r="D40" s="21">
        <v>55000</v>
      </c>
      <c r="E40" s="22">
        <f>D40*4</f>
        <v>220000</v>
      </c>
      <c r="F40" s="10"/>
    </row>
    <row r="41" spans="1:6" ht="15.75" x14ac:dyDescent="0.25">
      <c r="A41" s="9" t="s">
        <v>13</v>
      </c>
      <c r="B41" s="27" t="s">
        <v>28</v>
      </c>
      <c r="C41" s="20">
        <v>1</v>
      </c>
      <c r="D41" s="21">
        <v>0</v>
      </c>
      <c r="E41" s="22">
        <v>35000</v>
      </c>
      <c r="F41" s="10"/>
    </row>
    <row r="42" spans="1:6" ht="15.75" x14ac:dyDescent="0.25">
      <c r="A42" s="9"/>
      <c r="B42" s="24" t="s">
        <v>27</v>
      </c>
      <c r="C42" s="20">
        <v>1</v>
      </c>
      <c r="D42" s="21">
        <v>67500</v>
      </c>
      <c r="E42" s="22">
        <v>70000</v>
      </c>
      <c r="F42" s="10"/>
    </row>
    <row r="43" spans="1:6" ht="15.75" x14ac:dyDescent="0.25">
      <c r="A43" s="9"/>
      <c r="B43" s="24"/>
      <c r="C43" s="20"/>
      <c r="D43" s="21"/>
      <c r="E43" s="22"/>
      <c r="F43" s="10"/>
    </row>
    <row r="44" spans="1:6" ht="15.75" x14ac:dyDescent="0.25">
      <c r="A44" s="9"/>
      <c r="B44" s="11"/>
      <c r="C44" s="12" t="s">
        <v>17</v>
      </c>
      <c r="D44" s="13"/>
      <c r="E44" s="8">
        <f>SUM(E35:E43)</f>
        <v>560500</v>
      </c>
      <c r="F44" s="10"/>
    </row>
    <row r="45" spans="1:6" ht="15.75" x14ac:dyDescent="0.25">
      <c r="A45" s="9"/>
      <c r="B45" s="11"/>
      <c r="C45" s="18">
        <v>0.15</v>
      </c>
      <c r="D45" s="13"/>
      <c r="E45" s="14">
        <f>E44*27%</f>
        <v>151335</v>
      </c>
      <c r="F45" s="10"/>
    </row>
    <row r="46" spans="1:6" ht="15.75" x14ac:dyDescent="0.25">
      <c r="A46" s="9"/>
      <c r="B46" s="9"/>
      <c r="C46" s="12" t="s">
        <v>18</v>
      </c>
      <c r="D46" s="15"/>
      <c r="E46" s="8">
        <v>765000</v>
      </c>
      <c r="F46" s="10"/>
    </row>
    <row r="47" spans="1:6" ht="15.75" x14ac:dyDescent="0.25">
      <c r="A47" s="9"/>
      <c r="B47" s="9"/>
      <c r="C47" s="16" t="s">
        <v>14</v>
      </c>
      <c r="D47" s="17"/>
      <c r="E47" s="7">
        <f>E46*18%</f>
        <v>137700</v>
      </c>
      <c r="F47" s="10"/>
    </row>
    <row r="48" spans="1:6" ht="15.75" x14ac:dyDescent="0.25">
      <c r="A48" s="9"/>
      <c r="B48" s="9"/>
      <c r="C48" s="16" t="s">
        <v>15</v>
      </c>
      <c r="D48" s="17"/>
      <c r="E48" s="7">
        <f>SUM(E46:E47)</f>
        <v>902700</v>
      </c>
      <c r="F48" s="10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2026-09-12T07:37:14Z</dcterms:modified>
</cp:coreProperties>
</file>