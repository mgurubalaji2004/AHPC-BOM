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3" i="1" l="1"/>
  <c r="E14" i="1" s="1"/>
  <c r="E15" i="1" l="1"/>
  <c r="E16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<sst xmlns="http://schemas.openxmlformats.org/spreadsheetml/2006/main" count="31" uniqueCount="31">
  <si>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</si>
  <si>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</si>
  <si>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</si>
  <si>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</si>
  <si>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</si>
  <si>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</si>
  <si>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</si>
  <si>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</si>
  <si>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</si>
  <si>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</si>
  <si>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</si>
  <si>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</si>
  <si>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</si>
  <si>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</si>
  <si>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</si>
  <si>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</si>
  <si>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</si>
  <si>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</si>
  <si>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</si>
  <si>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</si>
  <si>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</si>
  <si>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</si>
  <si>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Hyte X50 Workstation Chassis</t>
  </si>
  <si>
    <t>360mm Liquid CPU Cooler</t>
  </si>
  <si>
    <t>NVIDIA RTX 5090 32GB GDDR7</t>
  </si>
  <si>
    <t>1300W 80+ Gold Power Supply</t>
  </si>
  <si>
    <t>4 × 32GB DDR5 5200MT/s RAM</t>
  </si>
  <si>
    <t>8TB SATA HDD seagate exos</t>
  </si>
  <si>
    <t>2TB NVMe M.2 SSD gen4</t>
  </si>
  <si>
    <t>AMD Ryzen™ 9 9950X (16-Cores, Base Freq 4.30GHz, Max Freq 5.70GHz, Cache 64MB)</t>
  </si>
  <si>
    <t>GIGABYTE X870 AORUS ELITE WIFI 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</si>
</sst>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15" zoomScaleNormal="115" workbookViewId="0">
      <selection activeCell="F17" sqref="F1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5"/>
      <c r="E2" s="26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9" t="s">
        <v>22</v>
      </c>
      <c r="C4" s="20">
        <v>1</v>
      </c>
      <c r="D4" s="21">
        <v>11500</v>
      </c>
      <c r="E4" s="21">
        <v>12000</v>
      </c>
      <c r="F4" s="10"/>
    </row>
    <row r="5" spans="1:6" ht="15.75" x14ac:dyDescent="0.25">
      <c r="A5" s="9" t="s">
        <v>8</v>
      </c>
      <c r="B5" s="22" t="s">
        <v>30</v>
      </c>
      <c r="C5" s="20">
        <v>1</v>
      </c>
      <c r="D5" s="21">
        <v>22800</v>
      </c>
      <c r="E5" s="21">
        <v>23000</v>
      </c>
      <c r="F5" s="10"/>
    </row>
    <row r="6" spans="1:6" ht="30" x14ac:dyDescent="0.25">
      <c r="A6" s="9" t="s">
        <v>9</v>
      </c>
      <c r="B6" s="23" t="s">
        <v>29</v>
      </c>
      <c r="C6" s="20">
        <v>1</v>
      </c>
      <c r="D6" s="21">
        <v>38500</v>
      </c>
      <c r="E6" s="21">
        <v>39000</v>
      </c>
      <c r="F6" s="10"/>
    </row>
    <row r="7" spans="1:6" ht="15.75" x14ac:dyDescent="0.25">
      <c r="A7" s="9" t="s">
        <v>10</v>
      </c>
      <c r="B7" t="s">
        <v>23</v>
      </c>
      <c r="C7" s="20">
        <v>1</v>
      </c>
      <c r="D7" s="21">
        <v>9500</v>
      </c>
      <c r="E7" s="21">
        <v>10000</v>
      </c>
      <c r="F7" s="10"/>
    </row>
    <row r="8" spans="1:6" ht="15.75" x14ac:dyDescent="0.25">
      <c r="A8" s="9" t="s">
        <v>11</v>
      </c>
      <c r="B8" s="23" t="s">
        <v>26</v>
      </c>
      <c r="C8" s="20">
        <v>4</v>
      </c>
      <c r="D8" s="21">
        <v>47000</v>
      </c>
      <c r="E8" s="21">
        <v>190000</v>
      </c>
      <c r="F8" s="10"/>
    </row>
    <row r="9" spans="1:6" ht="15.75" x14ac:dyDescent="0.25">
      <c r="A9" s="9" t="s">
        <v>12</v>
      </c>
      <c r="B9" s="23" t="s">
        <v>28</v>
      </c>
      <c r="C9" s="20">
        <v>1</v>
      </c>
      <c r="D9" s="21">
        <v>24000</v>
      </c>
      <c r="E9" s="21">
        <v>25000</v>
      </c>
      <c r="F9" s="10">
        <v>250</v>
      </c>
    </row>
    <row r="10" spans="1:6" ht="15.75" x14ac:dyDescent="0.25">
      <c r="A10" s="9" t="s">
        <v>13</v>
      </c>
      <c r="B10" s="23" t="s">
        <v>27</v>
      </c>
      <c r="C10" s="20">
        <v>1</v>
      </c>
      <c r="D10" s="21">
        <v>36000</v>
      </c>
      <c r="E10" s="21">
        <v>36000</v>
      </c>
      <c r="F10" s="10">
        <v>250</v>
      </c>
    </row>
    <row r="11" spans="1:6" ht="15.75" x14ac:dyDescent="0.25">
      <c r="A11" s="9" t="s">
        <v>18</v>
      </c>
      <c r="B11" s="23" t="s">
        <v>24</v>
      </c>
      <c r="C11" s="20">
        <v>1</v>
      </c>
      <c r="D11" s="21">
        <v>500000</v>
      </c>
      <c r="E11" s="21">
        <v>500000</v>
      </c>
      <c r="F11" s="10">
        <v>600</v>
      </c>
    </row>
    <row r="12" spans="1:6" ht="14.25" customHeight="1" x14ac:dyDescent="0.25">
      <c r="A12" s="9" t="s">
        <v>19</v>
      </c>
      <c r="B12" t="s">
        <v>25</v>
      </c>
      <c r="C12" s="20">
        <v>1</v>
      </c>
      <c r="D12" s="24">
        <v>14500</v>
      </c>
      <c r="E12" s="24">
        <v>15000</v>
      </c>
      <c r="F12" s="10"/>
    </row>
    <row r="13" spans="1:6" ht="16.149999999999999" customHeight="1" x14ac:dyDescent="0.25">
      <c r="A13" s="9"/>
      <c r="B13" s="11"/>
      <c r="C13" s="12" t="s">
        <v>17</v>
      </c>
      <c r="D13" s="13"/>
      <c r="E13" s="8">
        <f>SUM(E4:E12)</f>
        <v>850000</v>
      </c>
      <c r="F13" s="10"/>
    </row>
    <row r="14" spans="1:6" ht="16.149999999999999" customHeight="1" x14ac:dyDescent="0.25">
      <c r="A14" s="9"/>
      <c r="B14" s="11"/>
      <c r="C14" s="18">
        <v>0.15</v>
      </c>
      <c r="D14" s="13"/>
      <c r="E14" s="14">
        <f>E13*15%</f>
        <v>127500</v>
      </c>
      <c r="F14" s="10"/>
    </row>
    <row r="15" spans="1:6" ht="18" customHeight="1" x14ac:dyDescent="0.25">
      <c r="A15" s="9"/>
      <c r="B15" s="9"/>
      <c r="C15" s="12" t="s">
        <v>20</v>
      </c>
      <c r="D15" s="15"/>
      <c r="E15" s="8">
        <f>SUM(E13:E14)</f>
        <v>977500</v>
      </c>
      <c r="F15" s="10"/>
    </row>
    <row r="16" spans="1:6" ht="15.75" x14ac:dyDescent="0.25">
      <c r="A16" s="9"/>
      <c r="B16" s="9"/>
      <c r="C16" s="16" t="s">
        <v>14</v>
      </c>
      <c r="D16" s="17"/>
      <c r="E16" s="7">
        <f>E15*18%</f>
        <v>175950</v>
      </c>
      <c r="F16" s="10"/>
    </row>
    <row r="17" spans="1:6" ht="15.75" x14ac:dyDescent="0.25">
      <c r="A17" s="9"/>
      <c r="B17" s="9"/>
      <c r="C17" s="16" t="s">
        <v>15</v>
      </c>
      <c r="D17" s="17"/>
      <c r="E17" s="7">
        <f>SUM(E15:E16)</f>
        <v>1153450</v>
      </c>
      <c r="F17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2026-08-25T15:08:27Z</dcterms:modified>
</cp:coreProperties>
</file>