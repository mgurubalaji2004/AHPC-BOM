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10" i="1"/>
  <c r="E9" i="1"/>
  <c r="E7" i="1" l="1"/>
</calcChain>
</file>

<file path=xl/sharedStrings.xml><?xml version="1.0" encoding="utf-8"?>
<sst xmlns="http://schemas.openxmlformats.org/spreadsheetml/2006/main" count="21" uniqueCount="21">
  <si>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</si>
  <si>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</si>
  <si>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</si>
  <si>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</si>
  <si>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</si>
  <si>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</si>
  <si>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</si>
  <si>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</si>
  <si>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power supply</t>
  </si>
  <si>
    <t>GST -18%</t>
  </si>
  <si>
    <t>Total Price</t>
  </si>
  <si>
    <t>Unit Prize</t>
  </si>
  <si>
    <t>Sub Total</t>
  </si>
  <si>
    <t>With Margin(15%)</t>
  </si>
  <si>
    <t>HDD</t>
  </si>
  <si>
    <t>Arihant</t>
  </si>
  <si>
    <t>6100 USD</t>
  </si>
  <si>
    <t>24TB SATA HDD</t>
  </si>
  <si>
    <t>From</t>
  </si>
  <si>
    <t xml:space="preserve">AIC  </t>
  </si>
  <si>
    <t>4U 108x 3.5” hot-swap bays, hot-swap JBOD  J4108-02-04X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</si>
</sst>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4" fontId="0" fillId="0" borderId="0" xfId="0" applyNumberFormat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15" zoomScaleNormal="115" workbookViewId="0">
      <selection activeCell="C11" sqref="C11"/>
    </sheetView>
  </sheetViews>
  <sheetFormatPr defaultRowHeight="15" x14ac:dyDescent="0.25"/>
  <cols>
    <col min="1" max="1" width="15.28515625" customWidth="1"/>
    <col min="2" max="2" width="47.85546875" customWidth="1"/>
    <col min="3" max="3" width="12.7109375" customWidth="1"/>
    <col min="4" max="4" width="15.5703125" customWidth="1"/>
    <col min="5" max="5" width="1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2"/>
      <c r="E2" s="23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11</v>
      </c>
      <c r="E3" s="6" t="s">
        <v>6</v>
      </c>
      <c r="F3" s="6" t="s">
        <v>18</v>
      </c>
    </row>
    <row r="4" spans="1:6" ht="29.25" x14ac:dyDescent="0.25">
      <c r="A4" s="2" t="s">
        <v>7</v>
      </c>
      <c r="B4" s="24" t="s">
        <v>20</v>
      </c>
      <c r="C4" s="19">
        <v>1</v>
      </c>
      <c r="D4" s="10" t="s">
        <v>16</v>
      </c>
      <c r="E4" s="11">
        <v>660000</v>
      </c>
      <c r="F4" s="3" t="s">
        <v>19</v>
      </c>
    </row>
    <row r="5" spans="1:6" x14ac:dyDescent="0.25">
      <c r="A5" s="2" t="s">
        <v>14</v>
      </c>
      <c r="B5" s="7" t="s">
        <v>17</v>
      </c>
      <c r="C5" s="20">
        <v>48</v>
      </c>
      <c r="D5" s="10">
        <v>95000</v>
      </c>
      <c r="E5" s="17">
        <f>D5*48</f>
        <v>4560000</v>
      </c>
      <c r="F5" s="3" t="s">
        <v>15</v>
      </c>
    </row>
    <row r="6" spans="1:6" x14ac:dyDescent="0.25">
      <c r="A6" s="2" t="s">
        <v>8</v>
      </c>
      <c r="B6" s="7"/>
      <c r="C6" s="19"/>
      <c r="D6" s="10"/>
      <c r="E6" s="17"/>
      <c r="F6" s="3"/>
    </row>
    <row r="7" spans="1:6" x14ac:dyDescent="0.25">
      <c r="A7" s="2"/>
      <c r="B7" s="8"/>
      <c r="C7" s="9" t="s">
        <v>12</v>
      </c>
      <c r="D7" s="12"/>
      <c r="E7" s="18">
        <f>SUM(E4:E6)</f>
        <v>5220000</v>
      </c>
      <c r="F7" s="3"/>
    </row>
    <row r="8" spans="1:6" ht="30" x14ac:dyDescent="0.25">
      <c r="A8" s="2"/>
      <c r="B8" s="2"/>
      <c r="C8" s="9" t="s">
        <v>13</v>
      </c>
      <c r="D8" s="13"/>
      <c r="E8" s="14">
        <v>6220000</v>
      </c>
      <c r="F8" s="3"/>
    </row>
    <row r="9" spans="1:6" ht="15.75" x14ac:dyDescent="0.25">
      <c r="A9" s="2"/>
      <c r="B9" s="2"/>
      <c r="C9" s="6" t="s">
        <v>9</v>
      </c>
      <c r="D9" s="15"/>
      <c r="E9" s="16">
        <f>E8*18%</f>
        <v>1119600</v>
      </c>
      <c r="F9" s="3"/>
    </row>
    <row r="10" spans="1:6" ht="15.75" x14ac:dyDescent="0.25">
      <c r="A10" s="2"/>
      <c r="B10" s="2"/>
      <c r="C10" s="6" t="s">
        <v>10</v>
      </c>
      <c r="D10" s="15"/>
      <c r="E10" s="16">
        <f>SUM(E8:E9)</f>
        <v>7339600</v>
      </c>
      <c r="F10" s="3"/>
    </row>
    <row r="11" spans="1:6" x14ac:dyDescent="0.25">
      <c r="E11" s="21"/>
    </row>
    <row r="12" spans="1:6" ht="14.25" customHeight="1" x14ac:dyDescent="0.25"/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2026-09-09T06:41:34Z</dcterms:modified>
</cp:coreProperties>
</file>