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10" i="1"/>
  <c r="E14" i="1" l="1"/>
  <c r="E15" i="1" s="1"/>
  <c r="E16" i="1" l="1"/>
  <c r="E17" i="1" l="1"/>
  <c r="E18" i="1" s="1"/>
</calcChain>
</file>

<file path=xl/sharedStrings.xml><?xml version="1.0" encoding="utf-8"?>
<sst xmlns="http://schemas.openxmlformats.org/spreadsheetml/2006/main" count="30" uniqueCount="30">
  <si>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</si>
  <si>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</si>
  <si>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</si>
  <si>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</si>
  <si>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</si>
  <si>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</si>
  <si>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</si>
  <si>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</si>
  <si>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</si>
  <si>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</si>
  <si>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</si>
  <si>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</si>
  <si>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</si>
  <si>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</si>
  <si>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</si>
  <si>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</si>
  <si>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</si>
  <si>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</si>
  <si>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</si>
  <si>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</si>
  <si>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</si>
  <si>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AMD EPYC™ 7773X (64-Cores, Base Freq 2.2GHz, Max Freq 3.5GHz, 768MB Cache)</t>
  </si>
  <si>
    <t>480GB SATA SSD</t>
  </si>
  <si>
    <t>MZ72-HB2 2 x 10Gb/s LAN  5 x PCIe Gen4 x16 and x8 expansion slots  16 x DIMMs</t>
  </si>
  <si>
    <t>1.92TB SAS SSD</t>
  </si>
  <si>
    <t xml:space="preserve">128GB DDR4 </t>
  </si>
  <si>
    <t>9460-16i</t>
  </si>
  <si>
    <t>1200W RPS</t>
  </si>
  <si>
    <t>A26</t>
  </si>
  <si>
    <t>1U Rack Mountable Chassis  https://www.gigabyte.com/in/Enterprise/Rack-Server/R182-Z93-rev-A00-B00-AT0#Specifications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</si>
</sst>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4" fontId="4" fillId="6" borderId="1" xfId="0" applyNumberFormat="1" applyFont="1" applyFill="1" applyBorder="1" applyAlignment="1">
      <alignment horizontal="right"/>
    </xf>
    <xf numFmtId="4" fontId="2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="115" zoomScaleNormal="115" workbookViewId="0">
      <selection activeCell="B10" sqref="B10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28"/>
      <c r="E2" s="29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9" ht="47.25" x14ac:dyDescent="0.25">
      <c r="A4" s="8" t="s">
        <v>7</v>
      </c>
      <c r="B4" s="9" t="s">
        <v>29</v>
      </c>
      <c r="C4" s="10">
        <v>1</v>
      </c>
      <c r="D4" s="11">
        <v>300000</v>
      </c>
      <c r="E4" s="12">
        <v>300000</v>
      </c>
      <c r="F4" s="13"/>
    </row>
    <row r="5" spans="1:9" ht="31.5" x14ac:dyDescent="0.25">
      <c r="A5" s="8" t="s">
        <v>8</v>
      </c>
      <c r="B5" s="14" t="s">
        <v>23</v>
      </c>
      <c r="C5" s="10">
        <v>1</v>
      </c>
      <c r="D5" s="11">
        <v>85000</v>
      </c>
      <c r="E5" s="12">
        <v>85000</v>
      </c>
      <c r="F5" s="13"/>
    </row>
    <row r="6" spans="1:9" ht="31.5" x14ac:dyDescent="0.25">
      <c r="A6" s="8" t="s">
        <v>9</v>
      </c>
      <c r="B6" s="15" t="s">
        <v>21</v>
      </c>
      <c r="C6" s="10">
        <v>2</v>
      </c>
      <c r="D6" s="11">
        <v>800000</v>
      </c>
      <c r="E6" s="16">
        <f>D6*2</f>
        <v>1600000</v>
      </c>
      <c r="F6" s="13"/>
      <c r="I6">
        <v>150</v>
      </c>
    </row>
    <row r="7" spans="1:9" ht="15.75" x14ac:dyDescent="0.25">
      <c r="A7" s="8" t="s">
        <v>10</v>
      </c>
      <c r="B7" s="17" t="s">
        <v>28</v>
      </c>
      <c r="C7" s="10">
        <v>2</v>
      </c>
      <c r="D7" s="11">
        <v>7500</v>
      </c>
      <c r="E7" s="16">
        <v>15000</v>
      </c>
      <c r="F7" s="13"/>
      <c r="I7">
        <v>350</v>
      </c>
    </row>
    <row r="8" spans="1:9" ht="15.75" x14ac:dyDescent="0.25">
      <c r="A8" s="8" t="s">
        <v>11</v>
      </c>
      <c r="B8" s="18" t="s">
        <v>25</v>
      </c>
      <c r="C8" s="10">
        <v>32</v>
      </c>
      <c r="D8" s="11">
        <v>100000</v>
      </c>
      <c r="E8" s="16">
        <v>3200000</v>
      </c>
      <c r="F8" s="13"/>
      <c r="I8">
        <v>250</v>
      </c>
    </row>
    <row r="9" spans="1:9" ht="15.75" x14ac:dyDescent="0.25">
      <c r="A9" s="8" t="s">
        <v>12</v>
      </c>
      <c r="B9" s="15" t="s">
        <v>22</v>
      </c>
      <c r="C9" s="10">
        <v>2</v>
      </c>
      <c r="D9" s="11">
        <v>31000</v>
      </c>
      <c r="E9" s="16">
        <v>62000</v>
      </c>
      <c r="F9" s="13"/>
      <c r="I9">
        <v>150</v>
      </c>
    </row>
    <row r="10" spans="1:9" ht="15.75" x14ac:dyDescent="0.25">
      <c r="A10" s="8" t="s">
        <v>20</v>
      </c>
      <c r="B10" s="15" t="s">
        <v>24</v>
      </c>
      <c r="C10" s="10">
        <v>3</v>
      </c>
      <c r="D10" s="11">
        <v>190000</v>
      </c>
      <c r="E10" s="16">
        <f xml:space="preserve"> D10*3</f>
        <v>570000</v>
      </c>
      <c r="F10" s="13"/>
    </row>
    <row r="11" spans="1:9" ht="15.75" x14ac:dyDescent="0.25">
      <c r="A11" s="8"/>
      <c r="B11" s="15" t="s">
        <v>26</v>
      </c>
      <c r="C11" s="10">
        <v>1</v>
      </c>
      <c r="D11" s="11">
        <v>80000</v>
      </c>
      <c r="E11" s="16">
        <v>80000</v>
      </c>
      <c r="F11" s="13"/>
    </row>
    <row r="12" spans="1:9" ht="15.75" x14ac:dyDescent="0.25">
      <c r="A12" s="8" t="s">
        <v>13</v>
      </c>
      <c r="B12" s="15" t="s">
        <v>27</v>
      </c>
      <c r="C12" s="10">
        <v>1</v>
      </c>
      <c r="D12" s="11">
        <v>0</v>
      </c>
      <c r="E12" s="19">
        <v>0</v>
      </c>
      <c r="F12" s="13"/>
    </row>
    <row r="13" spans="1:9" ht="14.25" customHeight="1" x14ac:dyDescent="0.25">
      <c r="A13" s="8"/>
      <c r="B13" s="18"/>
      <c r="C13" s="10"/>
      <c r="D13" s="11"/>
      <c r="E13" s="19"/>
      <c r="F13" s="13"/>
    </row>
    <row r="14" spans="1:9" ht="16.149999999999999" customHeight="1" x14ac:dyDescent="0.25">
      <c r="A14" s="8"/>
      <c r="B14" s="20"/>
      <c r="C14" s="21" t="s">
        <v>17</v>
      </c>
      <c r="D14" s="22"/>
      <c r="E14" s="7">
        <f>SUM(E4:E13)</f>
        <v>5912000</v>
      </c>
      <c r="F14" s="13"/>
    </row>
    <row r="15" spans="1:9" ht="16.149999999999999" customHeight="1" x14ac:dyDescent="0.25">
      <c r="A15" s="8"/>
      <c r="B15" s="20"/>
      <c r="C15" s="27">
        <v>0.15</v>
      </c>
      <c r="D15" s="22"/>
      <c r="E15" s="23">
        <f>E14*15%</f>
        <v>886800</v>
      </c>
      <c r="F15" s="13"/>
    </row>
    <row r="16" spans="1:9" ht="18" customHeight="1" x14ac:dyDescent="0.25">
      <c r="A16" s="8"/>
      <c r="B16" s="8"/>
      <c r="C16" s="21" t="s">
        <v>18</v>
      </c>
      <c r="D16" s="24"/>
      <c r="E16" s="30">
        <f>SUM(E14:E15)</f>
        <v>6798800</v>
      </c>
      <c r="F16" s="13"/>
    </row>
    <row r="17" spans="1:6" ht="15.75" x14ac:dyDescent="0.25">
      <c r="A17" s="8"/>
      <c r="B17" s="8"/>
      <c r="C17" s="25" t="s">
        <v>14</v>
      </c>
      <c r="D17" s="26"/>
      <c r="E17" s="31">
        <f>E16*18%</f>
        <v>1223784</v>
      </c>
      <c r="F17" s="13"/>
    </row>
    <row r="18" spans="1:6" ht="15.75" x14ac:dyDescent="0.25">
      <c r="A18" s="8"/>
      <c r="B18" s="8"/>
      <c r="C18" s="25" t="s">
        <v>15</v>
      </c>
      <c r="D18" s="26"/>
      <c r="E18" s="31">
        <f>SUM(E16:E17)</f>
        <v>8022584</v>
      </c>
      <c r="F18" s="1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2026-09-09T05:07:25Z</dcterms:modified>
</cp:coreProperties>
</file>