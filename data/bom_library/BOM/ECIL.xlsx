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" i="1" l="1"/>
  <c r="E17" i="1" l="1"/>
</calcChain>
</file>

<file path=xl/sharedStrings.xml><?xml version="1.0" encoding="utf-8"?>
<sst xmlns="http://schemas.openxmlformats.org/spreadsheetml/2006/main" count="70" uniqueCount="47">
  <si>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</si>
  <si>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</si>
  <si>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</si>
  <si>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</si>
  <si>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</si>
  <si>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</si>
  <si>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</si>
  <si>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</si>
  <si>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</si>
  <si>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</si>
  <si>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</si>
  <si>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</si>
  <si>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</si>
  <si>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</si>
  <si>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</si>
  <si>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</si>
  <si>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</si>
  <si>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</si>
  <si>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Monitor</t>
  </si>
  <si>
    <t>keyboard Mouse</t>
  </si>
  <si>
    <t>Margin-15%</t>
  </si>
  <si>
    <t>Intel® Xeon® 6530P Processor (32-Cores, Base Freq 2.30GHz, Max Freq 4.10GHz, Cache 144MB)</t>
  </si>
  <si>
    <t xml:space="preserve">NVMe </t>
  </si>
  <si>
    <t xml:space="preserve">2TB NVMe </t>
  </si>
  <si>
    <t xml:space="preserve">27 inches Monitor </t>
  </si>
  <si>
    <t>GPU</t>
  </si>
  <si>
    <t>Dual Intel® Xeon® 6700/6500-Series Processors Intel System on Chip Chipset with 32 x DIMMs Motherboard</t>
  </si>
  <si>
    <t xml:space="preserve">2700W 80 plus Titanium RPS </t>
  </si>
  <si>
    <t xml:space="preserve">1.92TB SATA SSD </t>
  </si>
  <si>
    <t>Dynatron</t>
  </si>
  <si>
    <t>NVIDIA A4000</t>
  </si>
  <si>
    <t xml:space="preserve">RAID </t>
  </si>
  <si>
    <t>9460-8i</t>
  </si>
  <si>
    <t xml:space="preserve">Keyboard &amp; Mouse </t>
  </si>
  <si>
    <t>2U R284-SF0-IAL1</t>
  </si>
  <si>
    <t>Raid Cables</t>
  </si>
  <si>
    <t>AHPC BEAVER</t>
  </si>
  <si>
    <t>NVIDIA RTX 5070Ti 16 GB GDDR7</t>
  </si>
  <si>
    <t>Intel® Core™ i9 processor 14900K (Cores 24, E-Base Freq 2.4GHz, E-Max Freq 4.4GHz, P-Base Freq 3.2GHz, P-Max Freq 5.8GHz, Cache 36MB)</t>
  </si>
  <si>
    <t xml:space="preserve">Z790 AORUS ELITE X WIFI7 Intel® Z790 Express Chipset with 4 x DIMMs Motherboard </t>
  </si>
  <si>
    <t>360mm Liquid Cooler</t>
  </si>
  <si>
    <t xml:space="preserve">1TB NVMe M.2 SSD </t>
  </si>
  <si>
    <t xml:space="preserve"> 2TB SATA SSD</t>
  </si>
  <si>
    <t>1000W ATX Power Supply</t>
  </si>
  <si>
    <t>32GB DDR5 6000MHz</t>
  </si>
  <si>
    <t xml:space="preserve">64GB DDR5 4800MHz </t>
  </si>
  <si>
    <t>tot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</si>
</sst>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4" fontId="4" fillId="0" borderId="2" xfId="0" applyNumberFormat="1" applyFont="1" applyBorder="1" applyAlignment="1">
      <alignment horizontal="center" wrapText="1"/>
    </xf>
    <xf numFmtId="4" fontId="4" fillId="0" borderId="2" xfId="0" applyNumberFormat="1" applyFont="1" applyBorder="1" applyAlignment="1">
      <alignment horizontal="center"/>
    </xf>
    <xf numFmtId="4" fontId="4" fillId="5" borderId="2" xfId="0" applyNumberFormat="1" applyFont="1" applyFill="1" applyBorder="1" applyAlignment="1">
      <alignment horizontal="center" vertical="top" wrapText="1"/>
    </xf>
    <xf numFmtId="0" fontId="0" fillId="0" borderId="1" xfId="0" applyBorder="1"/>
    <xf numFmtId="4" fontId="2" fillId="0" borderId="3" xfId="0" applyNumberFormat="1" applyFont="1" applyBorder="1" applyAlignment="1">
      <alignment horizontal="right" vertical="center" wrapText="1"/>
    </xf>
    <xf numFmtId="4" fontId="2" fillId="0" borderId="4" xfId="0" applyNumberFormat="1" applyFont="1" applyBorder="1" applyAlignment="1">
      <alignment horizontal="right" vertical="center" wrapText="1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zoomScale="115" zoomScaleNormal="115" workbookViewId="0">
      <selection activeCell="I10" sqref="I10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30.4257812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36"/>
      <c r="E2" s="37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46</v>
      </c>
    </row>
    <row r="4" spans="1:6" ht="15.75" x14ac:dyDescent="0.25">
      <c r="A4" s="9" t="s">
        <v>7</v>
      </c>
      <c r="B4" s="10" t="s">
        <v>34</v>
      </c>
      <c r="C4" s="11">
        <v>1</v>
      </c>
      <c r="D4" s="12">
        <v>400000</v>
      </c>
      <c r="E4" s="13">
        <v>400000</v>
      </c>
      <c r="F4" s="38">
        <v>13</v>
      </c>
    </row>
    <row r="5" spans="1:6" ht="47.25" x14ac:dyDescent="0.25">
      <c r="A5" s="9" t="s">
        <v>8</v>
      </c>
      <c r="B5" s="15" t="s">
        <v>26</v>
      </c>
      <c r="C5" s="11">
        <v>1</v>
      </c>
      <c r="D5" s="12">
        <v>150000</v>
      </c>
      <c r="E5" s="13">
        <v>150000</v>
      </c>
      <c r="F5" s="39"/>
    </row>
    <row r="6" spans="1:6" ht="31.5" x14ac:dyDescent="0.25">
      <c r="A6" s="9" t="s">
        <v>9</v>
      </c>
      <c r="B6" s="16" t="s">
        <v>21</v>
      </c>
      <c r="C6" s="11">
        <v>2</v>
      </c>
      <c r="D6" s="12">
        <v>315000</v>
      </c>
      <c r="E6" s="17">
        <v>630000</v>
      </c>
      <c r="F6" s="39"/>
    </row>
    <row r="7" spans="1:6" ht="15.75" x14ac:dyDescent="0.25">
      <c r="A7" s="9" t="s">
        <v>10</v>
      </c>
      <c r="B7" s="18" t="s">
        <v>29</v>
      </c>
      <c r="C7" s="11">
        <v>2</v>
      </c>
      <c r="D7" s="12">
        <v>7500</v>
      </c>
      <c r="E7" s="17">
        <v>15000</v>
      </c>
      <c r="F7" s="39"/>
    </row>
    <row r="8" spans="1:6" ht="15.75" x14ac:dyDescent="0.25">
      <c r="A8" s="9" t="s">
        <v>11</v>
      </c>
      <c r="B8" s="19" t="s">
        <v>45</v>
      </c>
      <c r="C8" s="11">
        <v>4</v>
      </c>
      <c r="D8" s="12">
        <v>210000</v>
      </c>
      <c r="E8" s="17">
        <v>840000</v>
      </c>
      <c r="F8" s="39"/>
    </row>
    <row r="9" spans="1:6" ht="15.75" x14ac:dyDescent="0.25">
      <c r="A9" s="9" t="s">
        <v>22</v>
      </c>
      <c r="B9" s="19" t="s">
        <v>23</v>
      </c>
      <c r="C9" s="11">
        <v>1</v>
      </c>
      <c r="D9" s="12">
        <v>25000</v>
      </c>
      <c r="E9" s="17">
        <v>25000</v>
      </c>
      <c r="F9" s="39"/>
    </row>
    <row r="10" spans="1:6" ht="15.75" x14ac:dyDescent="0.25">
      <c r="A10" s="9" t="s">
        <v>12</v>
      </c>
      <c r="B10" s="16" t="s">
        <v>28</v>
      </c>
      <c r="C10" s="11">
        <v>6</v>
      </c>
      <c r="D10" s="12">
        <v>85000</v>
      </c>
      <c r="E10" s="17">
        <v>510000</v>
      </c>
      <c r="F10" s="39"/>
    </row>
    <row r="11" spans="1:6" ht="15.75" x14ac:dyDescent="0.25">
      <c r="A11" s="9" t="s">
        <v>31</v>
      </c>
      <c r="B11" s="16" t="s">
        <v>32</v>
      </c>
      <c r="C11" s="11">
        <v>1</v>
      </c>
      <c r="D11" s="12">
        <v>100000</v>
      </c>
      <c r="E11" s="17">
        <v>100000</v>
      </c>
      <c r="F11" s="39"/>
    </row>
    <row r="12" spans="1:6" ht="15.75" x14ac:dyDescent="0.25">
      <c r="A12" s="9" t="s">
        <v>31</v>
      </c>
      <c r="B12" s="16" t="s">
        <v>35</v>
      </c>
      <c r="C12" s="11">
        <v>1</v>
      </c>
      <c r="D12" s="12">
        <v>5000</v>
      </c>
      <c r="E12" s="17">
        <v>5000</v>
      </c>
      <c r="F12" s="39"/>
    </row>
    <row r="13" spans="1:6" ht="15.75" x14ac:dyDescent="0.25">
      <c r="A13" s="9" t="s">
        <v>25</v>
      </c>
      <c r="B13" s="16" t="s">
        <v>30</v>
      </c>
      <c r="C13" s="11">
        <v>1</v>
      </c>
      <c r="D13" s="12">
        <v>106000</v>
      </c>
      <c r="E13" s="17">
        <v>206000</v>
      </c>
      <c r="F13" s="39"/>
    </row>
    <row r="14" spans="1:6" ht="15.75" x14ac:dyDescent="0.25">
      <c r="A14" s="9" t="s">
        <v>13</v>
      </c>
      <c r="B14" s="16" t="s">
        <v>27</v>
      </c>
      <c r="C14" s="11">
        <v>1</v>
      </c>
      <c r="D14" s="12">
        <v>0</v>
      </c>
      <c r="E14" s="20">
        <v>35000</v>
      </c>
      <c r="F14" s="39"/>
    </row>
    <row r="15" spans="1:6" ht="15.75" x14ac:dyDescent="0.25">
      <c r="A15" s="9" t="s">
        <v>18</v>
      </c>
      <c r="B15" s="14" t="s">
        <v>24</v>
      </c>
      <c r="C15" s="11">
        <v>1</v>
      </c>
      <c r="D15" s="21">
        <v>25000</v>
      </c>
      <c r="E15" s="22">
        <v>25000</v>
      </c>
      <c r="F15" s="39"/>
    </row>
    <row r="16" spans="1:6" ht="14.25" customHeight="1" x14ac:dyDescent="0.25">
      <c r="A16" s="9" t="s">
        <v>19</v>
      </c>
      <c r="B16" s="19" t="s">
        <v>33</v>
      </c>
      <c r="C16" s="11">
        <v>1</v>
      </c>
      <c r="D16" s="12">
        <v>1500</v>
      </c>
      <c r="E16" s="20">
        <v>1500</v>
      </c>
      <c r="F16" s="40"/>
    </row>
    <row r="17" spans="1:6" ht="16.149999999999999" customHeight="1" x14ac:dyDescent="0.25">
      <c r="A17" s="9"/>
      <c r="B17" s="23"/>
      <c r="C17" s="24" t="s">
        <v>17</v>
      </c>
      <c r="D17" s="25"/>
      <c r="E17" s="26">
        <f>SUM(E4:E16)</f>
        <v>2942500</v>
      </c>
      <c r="F17" s="14"/>
    </row>
    <row r="18" spans="1:6" ht="18" customHeight="1" x14ac:dyDescent="0.25">
      <c r="A18" s="9"/>
      <c r="B18" s="9"/>
      <c r="C18" s="24" t="s">
        <v>20</v>
      </c>
      <c r="D18" s="27"/>
      <c r="E18" s="8">
        <v>3383875</v>
      </c>
      <c r="F18" s="8">
        <v>43990375</v>
      </c>
    </row>
    <row r="19" spans="1:6" ht="15.75" x14ac:dyDescent="0.25">
      <c r="A19" s="9"/>
      <c r="B19" s="9"/>
      <c r="C19" s="28" t="s">
        <v>14</v>
      </c>
      <c r="D19" s="29"/>
      <c r="E19" s="7">
        <v>609097.5</v>
      </c>
      <c r="F19" s="8">
        <v>7918267.5</v>
      </c>
    </row>
    <row r="20" spans="1:6" ht="15.75" x14ac:dyDescent="0.25">
      <c r="A20" s="9"/>
      <c r="B20" s="9"/>
      <c r="C20" s="28" t="s">
        <v>15</v>
      </c>
      <c r="D20" s="29"/>
      <c r="E20" s="7">
        <v>3992972.5</v>
      </c>
      <c r="F20" s="8">
        <v>51908642.5</v>
      </c>
    </row>
    <row r="23" spans="1:6" x14ac:dyDescent="0.25">
      <c r="A23" s="6" t="s">
        <v>3</v>
      </c>
      <c r="B23" s="6" t="s">
        <v>4</v>
      </c>
      <c r="C23" s="6" t="s">
        <v>5</v>
      </c>
      <c r="D23" s="6" t="s">
        <v>16</v>
      </c>
      <c r="E23" s="6" t="s">
        <v>6</v>
      </c>
    </row>
    <row r="24" spans="1:6" ht="15.75" x14ac:dyDescent="0.25">
      <c r="A24" s="9" t="s">
        <v>7</v>
      </c>
      <c r="B24" s="10" t="s">
        <v>36</v>
      </c>
      <c r="C24" s="11">
        <v>1</v>
      </c>
      <c r="D24" s="12">
        <v>23000</v>
      </c>
      <c r="E24" s="13">
        <v>23000</v>
      </c>
    </row>
    <row r="25" spans="1:6" ht="31.5" x14ac:dyDescent="0.25">
      <c r="A25" s="9" t="s">
        <v>8</v>
      </c>
      <c r="B25" s="15" t="s">
        <v>39</v>
      </c>
      <c r="C25" s="11">
        <v>1</v>
      </c>
      <c r="D25" s="12">
        <v>25000</v>
      </c>
      <c r="E25" s="13">
        <v>25000</v>
      </c>
    </row>
    <row r="26" spans="1:6" ht="47.25" x14ac:dyDescent="0.25">
      <c r="A26" s="9" t="s">
        <v>9</v>
      </c>
      <c r="B26" s="16" t="s">
        <v>38</v>
      </c>
      <c r="C26" s="11">
        <v>1</v>
      </c>
      <c r="D26" s="12">
        <v>50000</v>
      </c>
      <c r="E26" s="17">
        <v>50000</v>
      </c>
    </row>
    <row r="27" spans="1:6" ht="15.75" x14ac:dyDescent="0.25">
      <c r="A27" s="9" t="s">
        <v>10</v>
      </c>
      <c r="B27" s="18" t="s">
        <v>40</v>
      </c>
      <c r="C27" s="11">
        <v>1</v>
      </c>
      <c r="D27" s="12">
        <v>9500</v>
      </c>
      <c r="E27" s="17">
        <v>9500</v>
      </c>
    </row>
    <row r="28" spans="1:6" ht="15.75" x14ac:dyDescent="0.25">
      <c r="A28" s="9" t="s">
        <v>11</v>
      </c>
      <c r="B28" s="19" t="s">
        <v>44</v>
      </c>
      <c r="C28" s="11">
        <v>2</v>
      </c>
      <c r="D28" s="12">
        <v>45000</v>
      </c>
      <c r="E28" s="17">
        <v>90000</v>
      </c>
    </row>
    <row r="29" spans="1:6" ht="15.75" x14ac:dyDescent="0.25">
      <c r="A29" s="9" t="s">
        <v>22</v>
      </c>
      <c r="B29" s="19" t="s">
        <v>41</v>
      </c>
      <c r="C29" s="11">
        <v>1</v>
      </c>
      <c r="D29" s="12">
        <v>15000</v>
      </c>
      <c r="E29" s="17">
        <v>15000</v>
      </c>
    </row>
    <row r="30" spans="1:6" ht="15.75" x14ac:dyDescent="0.25">
      <c r="A30" s="9"/>
      <c r="B30" s="16"/>
      <c r="C30" s="11"/>
      <c r="D30" s="12"/>
      <c r="E30" s="17"/>
    </row>
    <row r="31" spans="1:6" ht="15.75" x14ac:dyDescent="0.25">
      <c r="A31" s="9" t="s">
        <v>12</v>
      </c>
      <c r="B31" s="16" t="s">
        <v>42</v>
      </c>
      <c r="C31" s="11">
        <v>2</v>
      </c>
      <c r="D31" s="12">
        <v>35000</v>
      </c>
      <c r="E31" s="17">
        <v>70000</v>
      </c>
    </row>
    <row r="32" spans="1:6" ht="15.75" x14ac:dyDescent="0.25">
      <c r="A32" s="9"/>
      <c r="B32" s="16"/>
      <c r="C32" s="11"/>
      <c r="D32" s="12"/>
      <c r="E32" s="17"/>
    </row>
    <row r="33" spans="1:5" ht="15.75" x14ac:dyDescent="0.25">
      <c r="A33" s="9" t="s">
        <v>25</v>
      </c>
      <c r="B33" s="16" t="s">
        <v>37</v>
      </c>
      <c r="C33" s="11">
        <v>1</v>
      </c>
      <c r="D33" s="12">
        <v>95000</v>
      </c>
      <c r="E33" s="17">
        <v>100000</v>
      </c>
    </row>
    <row r="34" spans="1:5" ht="15.75" x14ac:dyDescent="0.25">
      <c r="A34" s="9" t="s">
        <v>13</v>
      </c>
      <c r="B34" s="16" t="s">
        <v>43</v>
      </c>
      <c r="C34" s="11">
        <v>1</v>
      </c>
      <c r="D34" s="12">
        <v>10000</v>
      </c>
      <c r="E34" s="20">
        <v>10000</v>
      </c>
    </row>
    <row r="35" spans="1:5" ht="15.75" x14ac:dyDescent="0.25">
      <c r="A35" s="9" t="s">
        <v>18</v>
      </c>
      <c r="B35" s="14" t="s">
        <v>24</v>
      </c>
      <c r="C35" s="11">
        <v>1</v>
      </c>
      <c r="D35" s="21">
        <v>25000</v>
      </c>
      <c r="E35" s="22">
        <v>25000</v>
      </c>
    </row>
    <row r="36" spans="1:5" ht="31.5" x14ac:dyDescent="0.25">
      <c r="A36" s="9" t="s">
        <v>19</v>
      </c>
      <c r="B36" s="19" t="s">
        <v>33</v>
      </c>
      <c r="C36" s="11">
        <v>1</v>
      </c>
      <c r="D36" s="12">
        <v>1500</v>
      </c>
      <c r="E36" s="20">
        <v>1500</v>
      </c>
    </row>
    <row r="37" spans="1:5" ht="16.5" thickBot="1" x14ac:dyDescent="0.3">
      <c r="A37" s="9"/>
      <c r="B37" s="23"/>
      <c r="C37" s="24" t="s">
        <v>17</v>
      </c>
      <c r="D37" s="30"/>
      <c r="E37" s="8">
        <f>SUM(E24:E36)</f>
        <v>419000</v>
      </c>
    </row>
    <row r="38" spans="1:5" ht="16.5" thickBot="1" x14ac:dyDescent="0.3">
      <c r="A38" s="9"/>
      <c r="B38" s="9"/>
      <c r="C38" s="24" t="s">
        <v>20</v>
      </c>
      <c r="D38" s="31"/>
      <c r="E38" s="34">
        <v>481850</v>
      </c>
    </row>
    <row r="39" spans="1:5" ht="16.5" thickBot="1" x14ac:dyDescent="0.3">
      <c r="A39" s="9"/>
      <c r="B39" s="9"/>
      <c r="C39" s="28" t="s">
        <v>14</v>
      </c>
      <c r="D39" s="32"/>
      <c r="E39" s="35">
        <v>86733</v>
      </c>
    </row>
    <row r="40" spans="1:5" ht="16.5" thickBot="1" x14ac:dyDescent="0.3">
      <c r="A40" s="9"/>
      <c r="B40" s="9"/>
      <c r="C40" s="28" t="s">
        <v>15</v>
      </c>
      <c r="D40" s="32"/>
      <c r="E40" s="35">
        <v>568583</v>
      </c>
    </row>
    <row r="41" spans="1:5" x14ac:dyDescent="0.25">
      <c r="E41" s="33"/>
    </row>
  </sheetData>
  <mergeCells count="2">
    <mergeCell ref="D2:E2"/>
    <mergeCell ref="F4:F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2026-07-23T05:16:07Z</dcterms:modified>
</cp:coreProperties>
</file>