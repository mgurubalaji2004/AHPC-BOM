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-105" yWindow="0" windowWidth="2265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<sst xmlns="http://schemas.openxmlformats.org/spreadsheetml/2006/main" count="33" uniqueCount="33">
  <si>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</si>
  <si>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</si>
  <si>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</si>
  <si>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</si>
  <si>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</si>
  <si>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</si>
  <si>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</si>
  <si>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</si>
  <si>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</si>
  <si>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</si>
  <si>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</si>
  <si>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</si>
  <si>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</si>
  <si>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</si>
  <si>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</si>
  <si>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</si>
  <si>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</si>
  <si>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</si>
  <si>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</si>
  <si>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</si>
  <si>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</si>
  <si>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32 GB DDR5 Non-ECC RAM minimum 5600 MT/s</t>
  </si>
  <si>
    <t>12 TB Enterprise SATA HDD for data</t>
  </si>
  <si>
    <t>Nvidia GeForce RTX 5080 16 GB GPU</t>
  </si>
  <si>
    <t>GPU</t>
  </si>
  <si>
    <t>1000 W Certified SMPS</t>
  </si>
  <si>
    <t xml:space="preserve">AMD B850 Chipset Motherboard — AM5 socket, DDR5 memory support, PCIe 5.0 GPU &amp; NVMe, SATA 6Gb/s and USB4.  1 G onboard Ethernet   </t>
  </si>
  <si>
    <t>10G PCIe Ethernet NIC card</t>
  </si>
  <si>
    <t>NIC</t>
  </si>
  <si>
    <t>240mm Liquid Cooler</t>
  </si>
  <si>
    <t xml:space="preserve">250GB M.2 NVME Gen4 </t>
  </si>
  <si>
    <t xml:space="preserve">4U Tower/rack mountable chassis with rackmount kit peripherals and accessories </t>
  </si>
  <si>
    <t>AMD Ryzen 9 9950X (16-Cores, Base Freq 4.3GHz, Max Freq 5.7GHz, Cache 64MB)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</si>
</sst>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Normal="100" workbookViewId="0">
      <selection activeCell="I11" sqref="I1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31.5" x14ac:dyDescent="0.25">
      <c r="A4" s="9" t="s">
        <v>7</v>
      </c>
      <c r="B4" s="10" t="s">
        <v>31</v>
      </c>
      <c r="C4" s="11">
        <v>1</v>
      </c>
      <c r="D4" s="12">
        <v>76000</v>
      </c>
      <c r="E4" s="13">
        <v>76000</v>
      </c>
      <c r="F4" s="14"/>
    </row>
    <row r="5" spans="1:6" ht="47.25" x14ac:dyDescent="0.25">
      <c r="A5" s="9" t="s">
        <v>8</v>
      </c>
      <c r="B5" s="15" t="s">
        <v>26</v>
      </c>
      <c r="C5" s="11">
        <v>1</v>
      </c>
      <c r="D5" s="12">
        <v>14500</v>
      </c>
      <c r="E5" s="13">
        <v>14500</v>
      </c>
      <c r="F5" s="14"/>
    </row>
    <row r="6" spans="1:6" ht="31.5" x14ac:dyDescent="0.25">
      <c r="A6" s="9" t="s">
        <v>9</v>
      </c>
      <c r="B6" s="16" t="s">
        <v>32</v>
      </c>
      <c r="C6" s="11">
        <v>1</v>
      </c>
      <c r="D6" s="12">
        <v>39500</v>
      </c>
      <c r="E6" s="17">
        <v>40000</v>
      </c>
      <c r="F6" s="14"/>
    </row>
    <row r="7" spans="1:6" ht="15.75" x14ac:dyDescent="0.25">
      <c r="A7" s="9" t="s">
        <v>10</v>
      </c>
      <c r="B7" s="18" t="s">
        <v>29</v>
      </c>
      <c r="C7" s="11">
        <v>1</v>
      </c>
      <c r="D7" s="12">
        <v>9500</v>
      </c>
      <c r="E7" s="17">
        <v>9500</v>
      </c>
      <c r="F7" s="14"/>
    </row>
    <row r="8" spans="1:6" ht="15.75" x14ac:dyDescent="0.25">
      <c r="A8" s="9" t="s">
        <v>11</v>
      </c>
      <c r="B8" s="19" t="s">
        <v>21</v>
      </c>
      <c r="C8" s="11">
        <v>1</v>
      </c>
      <c r="D8" s="12">
        <v>55000</v>
      </c>
      <c r="E8" s="17">
        <v>58000</v>
      </c>
      <c r="F8" s="14"/>
    </row>
    <row r="9" spans="1:6" ht="15.75" x14ac:dyDescent="0.25">
      <c r="A9" s="9" t="s">
        <v>12</v>
      </c>
      <c r="B9" s="16" t="s">
        <v>30</v>
      </c>
      <c r="C9" s="11">
        <v>1</v>
      </c>
      <c r="D9" s="12">
        <v>5500</v>
      </c>
      <c r="E9" s="17">
        <v>5500</v>
      </c>
      <c r="F9" s="14"/>
    </row>
    <row r="10" spans="1:6" ht="15.75" x14ac:dyDescent="0.25">
      <c r="A10" s="9" t="s">
        <v>20</v>
      </c>
      <c r="B10" s="16" t="s">
        <v>22</v>
      </c>
      <c r="C10" s="11">
        <v>1</v>
      </c>
      <c r="D10" s="12">
        <v>54000</v>
      </c>
      <c r="E10" s="17">
        <v>55000</v>
      </c>
      <c r="F10" s="14"/>
    </row>
    <row r="11" spans="1:6" ht="15.75" x14ac:dyDescent="0.25">
      <c r="A11" s="9" t="s">
        <v>24</v>
      </c>
      <c r="B11" s="16" t="s">
        <v>23</v>
      </c>
      <c r="C11" s="11">
        <v>1</v>
      </c>
      <c r="D11" s="12">
        <v>165000</v>
      </c>
      <c r="E11" s="17">
        <v>170000</v>
      </c>
      <c r="F11" s="14"/>
    </row>
    <row r="12" spans="1:6" ht="15.75" x14ac:dyDescent="0.25">
      <c r="A12" s="9" t="s">
        <v>28</v>
      </c>
      <c r="B12" s="16" t="s">
        <v>27</v>
      </c>
      <c r="C12" s="11">
        <v>1</v>
      </c>
      <c r="D12" s="12">
        <v>5500</v>
      </c>
      <c r="E12" s="17">
        <v>5500</v>
      </c>
      <c r="F12" s="14"/>
    </row>
    <row r="13" spans="1:6" ht="15.75" x14ac:dyDescent="0.25">
      <c r="A13" s="9" t="s">
        <v>13</v>
      </c>
      <c r="B13" s="16" t="s">
        <v>25</v>
      </c>
      <c r="C13" s="11">
        <v>1</v>
      </c>
      <c r="D13" s="12">
        <v>12500</v>
      </c>
      <c r="E13" s="20">
        <v>13000</v>
      </c>
      <c r="F13" s="14"/>
    </row>
    <row r="14" spans="1:6" ht="16.149999999999999" customHeight="1" x14ac:dyDescent="0.25">
      <c r="A14" s="9"/>
      <c r="B14" s="21"/>
      <c r="C14" s="22" t="s">
        <v>17</v>
      </c>
      <c r="D14" s="23"/>
      <c r="E14" s="8">
        <f>SUM(E4:E13)</f>
        <v>447000</v>
      </c>
      <c r="F14" s="14"/>
    </row>
    <row r="15" spans="1:6" ht="16.149999999999999" customHeight="1" x14ac:dyDescent="0.25">
      <c r="A15" s="9"/>
      <c r="B15" s="21"/>
      <c r="C15" s="28">
        <v>0.15</v>
      </c>
      <c r="D15" s="23"/>
      <c r="E15" s="24">
        <f>E14*15%</f>
        <v>67050</v>
      </c>
      <c r="F15" s="14"/>
    </row>
    <row r="16" spans="1:6" ht="18" customHeight="1" x14ac:dyDescent="0.25">
      <c r="A16" s="9"/>
      <c r="B16" s="9"/>
      <c r="C16" s="22" t="s">
        <v>18</v>
      </c>
      <c r="D16" s="25"/>
      <c r="E16" s="8">
        <f>SUM(E14:E15)</f>
        <v>514050</v>
      </c>
      <c r="F16" s="14"/>
    </row>
    <row r="17" spans="1:6" ht="15.75" x14ac:dyDescent="0.25">
      <c r="A17" s="9"/>
      <c r="B17" s="9"/>
      <c r="C17" s="26" t="s">
        <v>14</v>
      </c>
      <c r="D17" s="27"/>
      <c r="E17" s="7">
        <f>E16*18%</f>
        <v>92529</v>
      </c>
      <c r="F17" s="14"/>
    </row>
    <row r="18" spans="1:6" ht="15.75" x14ac:dyDescent="0.25">
      <c r="A18" s="9"/>
      <c r="B18" s="9"/>
      <c r="C18" s="26" t="s">
        <v>15</v>
      </c>
      <c r="D18" s="27"/>
      <c r="E18" s="7">
        <f>SUM(E16:E17)</f>
        <v>606579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2026-09-26T07:31:53Z</dcterms:modified>
</cp:coreProperties>
</file>