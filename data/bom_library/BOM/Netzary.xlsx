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1" l="1"/>
  <c r="E37" i="1" s="1"/>
  <c r="E16" i="1" l="1"/>
  <c r="E17" i="1" s="1"/>
  <c r="E38" i="1" l="1"/>
  <c r="E39" i="1" s="1"/>
  <c r="E18" i="1"/>
  <c r="E19" i="1" s="1"/>
  <c r="E20" i="1" l="1"/>
  <c r="E40" i="1"/>
</calcChain>
</file>

<file path=xl/sharedStrings.xml><?xml version="1.0" encoding="utf-8"?>
<sst xmlns="http://schemas.openxmlformats.org/spreadsheetml/2006/main" count="63" uniqueCount="35">
  <si>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</si>
  <si>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</si>
  <si>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</si>
  <si>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</si>
  <si>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</si>
  <si>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</si>
  <si>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</si>
  <si>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</si>
  <si>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</si>
  <si>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</si>
  <si>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</si>
  <si>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</si>
  <si>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</si>
  <si>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GST -18%</t>
  </si>
  <si>
    <t>Total Price</t>
  </si>
  <si>
    <t>Unit Prize</t>
  </si>
  <si>
    <t>Sub Total</t>
  </si>
  <si>
    <t>From</t>
  </si>
  <si>
    <t>AMD EPYC™ 9755 (128-Cores, Base Freq 2.70GHz, Max Freq 4.10GHz, Cache 512MB)</t>
  </si>
  <si>
    <t>MZ73-LM0</t>
  </si>
  <si>
    <t>J10</t>
  </si>
  <si>
    <t>128GB DDR5 RDIMM 6400MHz</t>
  </si>
  <si>
    <t>3.84TB U.2 NVMe SSD</t>
  </si>
  <si>
    <t xml:space="preserve">Raid </t>
  </si>
  <si>
    <t>9560-16i 8GB Cache</t>
  </si>
  <si>
    <t>RS720A-E13-RS8U</t>
  </si>
  <si>
    <t>Intel E810-XXVDA 4-Port 25G SFP28</t>
  </si>
  <si>
    <t>Intel X710-DA2 2-Port 10G SFP+</t>
  </si>
  <si>
    <t>Networl</t>
  </si>
  <si>
    <t>SFP+ 10GBase-SR transceiver</t>
  </si>
  <si>
    <t>SFP28 25GBase-SR transceiver</t>
  </si>
  <si>
    <t>2000W Titanium RPS</t>
  </si>
  <si>
    <t>AMD EPYC™ 9655 (96-Cores, Base Freq 2.60GHz, Max Freq 4.50GHz, Cache 384MB)</t>
  </si>
  <si>
    <t>15.36TB U.2 NVMe SSD</t>
  </si>
  <si>
    <t>Margin-25%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</si>
</sst>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topLeftCell="A28" zoomScale="115" zoomScaleNormal="115" workbookViewId="0">
      <selection activeCell="E38" sqref="E38:E40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15</v>
      </c>
      <c r="E3" s="6" t="s">
        <v>6</v>
      </c>
      <c r="F3" s="6" t="s">
        <v>17</v>
      </c>
    </row>
    <row r="4" spans="1:6" ht="15.75" x14ac:dyDescent="0.25">
      <c r="A4" s="9" t="s">
        <v>7</v>
      </c>
      <c r="B4" s="10" t="s">
        <v>25</v>
      </c>
      <c r="C4" s="11">
        <v>1</v>
      </c>
      <c r="D4" s="12"/>
      <c r="E4" s="13">
        <v>500000</v>
      </c>
      <c r="F4" s="14"/>
    </row>
    <row r="5" spans="1:6" ht="15.75" x14ac:dyDescent="0.25">
      <c r="A5" s="9" t="s">
        <v>8</v>
      </c>
      <c r="B5" s="15" t="s">
        <v>19</v>
      </c>
      <c r="C5" s="11">
        <v>1</v>
      </c>
      <c r="D5" s="12">
        <v>150000</v>
      </c>
      <c r="E5" s="13">
        <v>150000</v>
      </c>
      <c r="F5" s="14"/>
    </row>
    <row r="6" spans="1:6" ht="31.5" x14ac:dyDescent="0.25">
      <c r="A6" s="9" t="s">
        <v>9</v>
      </c>
      <c r="B6" s="16" t="s">
        <v>18</v>
      </c>
      <c r="C6" s="11">
        <v>2</v>
      </c>
      <c r="D6" s="12">
        <v>495000</v>
      </c>
      <c r="E6" s="17">
        <v>1000000</v>
      </c>
      <c r="F6" s="14"/>
    </row>
    <row r="7" spans="1:6" ht="15.75" x14ac:dyDescent="0.25">
      <c r="A7" s="9" t="s">
        <v>10</v>
      </c>
      <c r="B7" s="18" t="s">
        <v>20</v>
      </c>
      <c r="C7" s="11">
        <v>2</v>
      </c>
      <c r="D7" s="12">
        <v>7500</v>
      </c>
      <c r="E7" s="17">
        <v>15000</v>
      </c>
      <c r="F7" s="14"/>
    </row>
    <row r="8" spans="1:6" ht="15.75" x14ac:dyDescent="0.25">
      <c r="A8" s="9" t="s">
        <v>11</v>
      </c>
      <c r="B8" s="19" t="s">
        <v>21</v>
      </c>
      <c r="C8" s="11">
        <v>24</v>
      </c>
      <c r="D8" s="12">
        <v>410000</v>
      </c>
      <c r="E8" s="17">
        <v>9840000</v>
      </c>
      <c r="F8" s="14"/>
    </row>
    <row r="9" spans="1:6" ht="15.75" x14ac:dyDescent="0.25">
      <c r="A9" s="9" t="s">
        <v>12</v>
      </c>
      <c r="B9" s="16" t="s">
        <v>22</v>
      </c>
      <c r="C9" s="11">
        <v>2</v>
      </c>
      <c r="D9" s="12">
        <v>160000</v>
      </c>
      <c r="E9" s="17">
        <v>320000</v>
      </c>
      <c r="F9" s="14"/>
    </row>
    <row r="10" spans="1:6" ht="15.75" x14ac:dyDescent="0.25">
      <c r="A10" s="9" t="s">
        <v>23</v>
      </c>
      <c r="B10" s="16" t="s">
        <v>24</v>
      </c>
      <c r="C10" s="11">
        <v>1</v>
      </c>
      <c r="D10" s="12">
        <v>205000</v>
      </c>
      <c r="E10" s="17">
        <v>210000</v>
      </c>
      <c r="F10" s="14"/>
    </row>
    <row r="11" spans="1:6" ht="15.75" x14ac:dyDescent="0.25">
      <c r="A11" s="9" t="s">
        <v>28</v>
      </c>
      <c r="B11" s="16" t="s">
        <v>27</v>
      </c>
      <c r="C11" s="11">
        <v>6</v>
      </c>
      <c r="D11" s="12">
        <v>17500</v>
      </c>
      <c r="E11" s="20">
        <v>108000</v>
      </c>
      <c r="F11" s="14"/>
    </row>
    <row r="12" spans="1:6" ht="15.75" x14ac:dyDescent="0.25">
      <c r="A12" s="9" t="s">
        <v>28</v>
      </c>
      <c r="B12" s="14" t="s">
        <v>26</v>
      </c>
      <c r="C12" s="11">
        <v>2</v>
      </c>
      <c r="D12" s="21">
        <v>25200</v>
      </c>
      <c r="E12" s="22">
        <v>51000</v>
      </c>
      <c r="F12" s="14"/>
    </row>
    <row r="13" spans="1:6" ht="15.75" x14ac:dyDescent="0.25">
      <c r="A13" s="9"/>
      <c r="B13" s="14" t="s">
        <v>29</v>
      </c>
      <c r="C13" s="11">
        <v>12</v>
      </c>
      <c r="D13" s="21">
        <v>2250</v>
      </c>
      <c r="E13" s="22">
        <v>30000</v>
      </c>
      <c r="F13" s="14"/>
    </row>
    <row r="14" spans="1:6" ht="15.75" x14ac:dyDescent="0.25">
      <c r="A14" s="9"/>
      <c r="B14" s="14" t="s">
        <v>30</v>
      </c>
      <c r="C14" s="11">
        <v>8</v>
      </c>
      <c r="D14" s="21">
        <v>2000</v>
      </c>
      <c r="E14" s="22">
        <v>16000</v>
      </c>
      <c r="F14" s="14"/>
    </row>
    <row r="15" spans="1:6" ht="14.25" customHeight="1" x14ac:dyDescent="0.25">
      <c r="A15" s="9"/>
      <c r="B15" s="19" t="s">
        <v>31</v>
      </c>
      <c r="C15" s="11">
        <v>1</v>
      </c>
      <c r="D15" s="12"/>
      <c r="E15" s="20">
        <v>60000</v>
      </c>
      <c r="F15" s="14"/>
    </row>
    <row r="16" spans="1:6" ht="16.149999999999999" customHeight="1" x14ac:dyDescent="0.25">
      <c r="A16" s="9"/>
      <c r="B16" s="23"/>
      <c r="C16" s="24" t="s">
        <v>16</v>
      </c>
      <c r="D16" s="25"/>
      <c r="E16" s="8">
        <f>SUM(E4:E15)</f>
        <v>12300000</v>
      </c>
      <c r="F16" s="14"/>
    </row>
    <row r="17" spans="1:10" ht="16.149999999999999" customHeight="1" x14ac:dyDescent="0.25">
      <c r="A17" s="9"/>
      <c r="B17" s="23"/>
      <c r="C17" s="30">
        <v>0.25</v>
      </c>
      <c r="D17" s="25"/>
      <c r="E17" s="26">
        <f>E16*30%</f>
        <v>3690000</v>
      </c>
      <c r="F17" s="14"/>
    </row>
    <row r="18" spans="1:10" ht="18" customHeight="1" x14ac:dyDescent="0.25">
      <c r="A18" s="9"/>
      <c r="B18" s="9"/>
      <c r="C18" s="24" t="s">
        <v>34</v>
      </c>
      <c r="D18" s="27"/>
      <c r="E18" s="8">
        <f>SUM(E16:E17)</f>
        <v>15990000</v>
      </c>
      <c r="F18" s="14"/>
    </row>
    <row r="19" spans="1:10" ht="15.75" x14ac:dyDescent="0.25">
      <c r="A19" s="9"/>
      <c r="B19" s="9"/>
      <c r="C19" s="28" t="s">
        <v>13</v>
      </c>
      <c r="D19" s="29"/>
      <c r="E19" s="7">
        <f>E18*18%</f>
        <v>2878200</v>
      </c>
      <c r="F19" s="14"/>
    </row>
    <row r="20" spans="1:10" ht="15.75" x14ac:dyDescent="0.25">
      <c r="A20" s="9"/>
      <c r="B20" s="9"/>
      <c r="C20" s="28" t="s">
        <v>14</v>
      </c>
      <c r="D20" s="29"/>
      <c r="E20" s="7">
        <f>SUM(E18:E19)</f>
        <v>18868200</v>
      </c>
      <c r="F20" s="14"/>
    </row>
    <row r="22" spans="1:10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4" spans="1:10" x14ac:dyDescent="0.25">
      <c r="A24" s="6" t="s">
        <v>3</v>
      </c>
      <c r="B24" s="6" t="s">
        <v>4</v>
      </c>
      <c r="C24" s="6" t="s">
        <v>5</v>
      </c>
      <c r="D24" s="6" t="s">
        <v>15</v>
      </c>
      <c r="E24" s="6" t="s">
        <v>6</v>
      </c>
      <c r="F24" s="6" t="s">
        <v>17</v>
      </c>
    </row>
    <row r="25" spans="1:10" ht="15.75" x14ac:dyDescent="0.25">
      <c r="A25" s="9" t="s">
        <v>7</v>
      </c>
      <c r="B25" s="10" t="s">
        <v>25</v>
      </c>
      <c r="C25" s="11">
        <v>1</v>
      </c>
      <c r="D25" s="12"/>
      <c r="E25" s="13">
        <v>500000</v>
      </c>
      <c r="F25" s="14"/>
    </row>
    <row r="26" spans="1:10" ht="15.75" x14ac:dyDescent="0.25">
      <c r="A26" s="9" t="s">
        <v>8</v>
      </c>
      <c r="B26" s="15" t="s">
        <v>19</v>
      </c>
      <c r="C26" s="11">
        <v>1</v>
      </c>
      <c r="D26" s="12">
        <v>150000</v>
      </c>
      <c r="E26" s="13">
        <v>200000</v>
      </c>
      <c r="F26" s="14"/>
    </row>
    <row r="27" spans="1:10" ht="31.5" x14ac:dyDescent="0.25">
      <c r="A27" s="9" t="s">
        <v>9</v>
      </c>
      <c r="B27" s="16" t="s">
        <v>32</v>
      </c>
      <c r="C27" s="11">
        <v>2</v>
      </c>
      <c r="D27" s="12">
        <v>460000</v>
      </c>
      <c r="E27" s="17">
        <v>920000</v>
      </c>
      <c r="F27" s="14"/>
    </row>
    <row r="28" spans="1:10" ht="15.75" x14ac:dyDescent="0.25">
      <c r="A28" s="9" t="s">
        <v>10</v>
      </c>
      <c r="B28" s="18" t="s">
        <v>20</v>
      </c>
      <c r="C28" s="11">
        <v>2</v>
      </c>
      <c r="D28" s="12">
        <v>7500</v>
      </c>
      <c r="E28" s="17">
        <v>24000</v>
      </c>
      <c r="F28" s="14"/>
    </row>
    <row r="29" spans="1:10" ht="15.75" x14ac:dyDescent="0.25">
      <c r="A29" s="9" t="s">
        <v>11</v>
      </c>
      <c r="B29" s="19" t="s">
        <v>21</v>
      </c>
      <c r="C29" s="11">
        <v>8</v>
      </c>
      <c r="D29" s="12">
        <v>410000</v>
      </c>
      <c r="E29" s="17">
        <v>3280000</v>
      </c>
      <c r="F29" s="14"/>
    </row>
    <row r="30" spans="1:10" ht="15.75" x14ac:dyDescent="0.25">
      <c r="A30" s="9" t="s">
        <v>12</v>
      </c>
      <c r="B30" s="16" t="s">
        <v>22</v>
      </c>
      <c r="C30" s="11">
        <v>2</v>
      </c>
      <c r="D30" s="12">
        <v>160000</v>
      </c>
      <c r="E30" s="17">
        <v>320000</v>
      </c>
      <c r="F30" s="14"/>
    </row>
    <row r="31" spans="1:10" ht="15.75" x14ac:dyDescent="0.25">
      <c r="A31" s="9"/>
      <c r="B31" s="16" t="s">
        <v>33</v>
      </c>
      <c r="C31" s="11">
        <v>5</v>
      </c>
      <c r="D31" s="12">
        <v>500000</v>
      </c>
      <c r="E31" s="17">
        <v>2500000</v>
      </c>
      <c r="F31" s="14"/>
    </row>
    <row r="32" spans="1:10" ht="15.75" x14ac:dyDescent="0.25">
      <c r="A32" s="9" t="s">
        <v>23</v>
      </c>
      <c r="B32" s="16" t="s">
        <v>24</v>
      </c>
      <c r="C32" s="11">
        <v>1</v>
      </c>
      <c r="D32" s="12">
        <v>205000</v>
      </c>
      <c r="E32" s="17">
        <v>210000</v>
      </c>
      <c r="F32" s="14"/>
    </row>
    <row r="33" spans="1:6" ht="15.75" x14ac:dyDescent="0.25">
      <c r="A33" s="9" t="s">
        <v>28</v>
      </c>
      <c r="B33" s="14" t="s">
        <v>26</v>
      </c>
      <c r="C33" s="11">
        <v>2</v>
      </c>
      <c r="D33" s="21">
        <v>25200</v>
      </c>
      <c r="E33" s="22">
        <v>51000</v>
      </c>
      <c r="F33" s="14"/>
    </row>
    <row r="34" spans="1:6" ht="15.75" x14ac:dyDescent="0.25">
      <c r="A34" s="9"/>
      <c r="B34" s="14" t="s">
        <v>30</v>
      </c>
      <c r="C34" s="11">
        <v>10</v>
      </c>
      <c r="D34" s="21">
        <v>2000</v>
      </c>
      <c r="E34" s="22">
        <v>30000</v>
      </c>
      <c r="F34" s="14"/>
    </row>
    <row r="35" spans="1:6" ht="15.75" x14ac:dyDescent="0.25">
      <c r="A35" s="9"/>
      <c r="B35" s="19" t="s">
        <v>31</v>
      </c>
      <c r="C35" s="11">
        <v>1</v>
      </c>
      <c r="D35" s="12"/>
      <c r="E35" s="20"/>
      <c r="F35" s="14"/>
    </row>
    <row r="36" spans="1:6" ht="15.75" x14ac:dyDescent="0.25">
      <c r="A36" s="9"/>
      <c r="B36" s="23"/>
      <c r="C36" s="24" t="s">
        <v>16</v>
      </c>
      <c r="D36" s="25"/>
      <c r="E36" s="8">
        <f>SUM(E25:E35)</f>
        <v>8035000</v>
      </c>
      <c r="F36" s="14"/>
    </row>
    <row r="37" spans="1:6" ht="15.75" x14ac:dyDescent="0.25">
      <c r="A37" s="9"/>
      <c r="B37" s="23"/>
      <c r="C37" s="30">
        <v>0.25</v>
      </c>
      <c r="D37" s="25"/>
      <c r="E37" s="26">
        <f>E36*30%</f>
        <v>2410500</v>
      </c>
      <c r="F37" s="14"/>
    </row>
    <row r="38" spans="1:6" ht="15.75" x14ac:dyDescent="0.25">
      <c r="A38" s="9"/>
      <c r="B38" s="9"/>
      <c r="C38" s="24" t="s">
        <v>34</v>
      </c>
      <c r="D38" s="27"/>
      <c r="E38" s="8">
        <f>SUM(E36:E37)</f>
        <v>10445500</v>
      </c>
      <c r="F38" s="14"/>
    </row>
    <row r="39" spans="1:6" ht="15.75" x14ac:dyDescent="0.25">
      <c r="A39" s="9"/>
      <c r="B39" s="9"/>
      <c r="C39" s="28" t="s">
        <v>13</v>
      </c>
      <c r="D39" s="29"/>
      <c r="E39" s="7">
        <f>E38*18%</f>
        <v>1880190</v>
      </c>
      <c r="F39" s="14"/>
    </row>
    <row r="40" spans="1:6" ht="15.75" x14ac:dyDescent="0.25">
      <c r="A40" s="9"/>
      <c r="B40" s="9"/>
      <c r="C40" s="28" t="s">
        <v>14</v>
      </c>
      <c r="D40" s="29"/>
      <c r="E40" s="7">
        <f>SUM(E38:E39)</f>
        <v>12325690</v>
      </c>
      <c r="F40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2026-08-24T12:19:41Z</dcterms:modified>
</cp:coreProperties>
</file>