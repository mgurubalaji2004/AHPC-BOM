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925" windowHeight="83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1" l="1"/>
  <c r="F35" i="1" s="1"/>
  <c r="F36" i="1" s="1"/>
  <c r="F37" i="1" l="1"/>
  <c r="F38" i="1" l="1"/>
  <c r="F39" i="1" s="1"/>
  <c r="J7" i="1" l="1"/>
  <c r="I9" i="1"/>
  <c r="I10" i="1" s="1"/>
  <c r="I7" i="1"/>
  <c r="F15" i="1" l="1"/>
  <c r="G15" i="1" s="1"/>
  <c r="F16" i="1" l="1"/>
  <c r="F17" i="1" l="1"/>
  <c r="G17" i="1" s="1"/>
  <c r="G16" i="1"/>
  <c r="F18" i="1"/>
  <c r="F19" i="1" l="1"/>
  <c r="G19" i="1" s="1"/>
  <c r="G18" i="1"/>
</calcChain>
</file>

<file path=xl/sharedStrings.xml><?xml version="1.0" encoding="utf-8"?>
<sst xmlns="http://schemas.openxmlformats.org/spreadsheetml/2006/main" count="72" uniqueCount="45">
  <si>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</si>
  <si>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</si>
  <si>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</si>
  <si>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</si>
  <si>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</si>
  <si>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</si>
  <si>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</si>
  <si>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</si>
  <si>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</si>
  <si>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</si>
  <si>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</si>
  <si>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</si>
  <si>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</si>
  <si>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</si>
  <si>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</si>
  <si>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</si>
  <si>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</si>
  <si>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</si>
  <si>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Margin-15%</t>
  </si>
  <si>
    <t>From</t>
  </si>
  <si>
    <t xml:space="preserve">MZ73-LM2 AMD SoC Chipset </t>
  </si>
  <si>
    <t>J10</t>
  </si>
  <si>
    <t>AMD EPYC™ 9454 (Cores-48, Base Freq 2.75GHz, Max Freq 3.80GHz, Cache 256MB)</t>
  </si>
  <si>
    <t>64GB DDR5 4800MHz</t>
  </si>
  <si>
    <t>480GB SATA SSD</t>
  </si>
  <si>
    <t>HDD</t>
  </si>
  <si>
    <t>12TB SATA HDD</t>
  </si>
  <si>
    <t>Raid</t>
  </si>
  <si>
    <t>9460-16i Raid Controller</t>
  </si>
  <si>
    <t>1200W RPS</t>
  </si>
  <si>
    <t>2U Rack Mountable Chassis 12Bays</t>
  </si>
  <si>
    <t>Qty 4</t>
  </si>
  <si>
    <t>18TB SATA HDD</t>
  </si>
  <si>
    <t>4U 24-Bay Rack Mountable Chassis  AIC RSC-4ET</t>
  </si>
  <si>
    <t>AMD EPYC 9005/9004 Chipset with 8 x DIMMs Motherboard 2 10GBase-T + 2 1000Base-T LAN</t>
  </si>
  <si>
    <t>AMD EPYC™ 9124 (Cores-16, Base Freq 3.00GHz, Max Freq 3.70GHz, Cache 64MB)</t>
  </si>
  <si>
    <t>J12</t>
  </si>
  <si>
    <t xml:space="preserve">64GB DDR5 4800MHz </t>
  </si>
  <si>
    <t xml:space="preserve">480GB SATA SSD </t>
  </si>
  <si>
    <t xml:space="preserve">Megaraid 9560-16i </t>
  </si>
  <si>
    <t>raid cable</t>
  </si>
  <si>
    <t>Quad port 25Gb/s</t>
  </si>
  <si>
    <t xml:space="preserve">Power Supply </t>
  </si>
  <si>
    <t xml:space="preserve"> ( RAW Space 144TB Usable Space 96TB ) 2 common spare drive also include </t>
  </si>
  <si>
    <t>Arihanth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</si>
</sst>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8"/>
      <color rgb="FF000000"/>
      <name val="Times New Roman"/>
      <family val="1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  <xf numFmtId="9" fontId="4" fillId="4" borderId="1" xfId="0" applyNumberFormat="1" applyFont="1" applyFill="1" applyBorder="1" applyAlignment="1">
      <alignment wrapText="1"/>
    </xf>
    <xf numFmtId="4" fontId="4" fillId="0" borderId="1" xfId="0" applyNumberFormat="1" applyFont="1" applyBorder="1"/>
    <xf numFmtId="0" fontId="5" fillId="4" borderId="1" xfId="0" applyFont="1" applyFill="1" applyBorder="1" applyAlignment="1">
      <alignment vertical="top" wrapText="1"/>
    </xf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wrapText="1"/>
    </xf>
    <xf numFmtId="3" fontId="6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wrapText="1"/>
    </xf>
    <xf numFmtId="0" fontId="5" fillId="0" borderId="0" xfId="0" applyFont="1" applyAlignment="1">
      <alignment horizontal="left" vertic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/>
    <xf numFmtId="3" fontId="5" fillId="0" borderId="1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3" fontId="6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wrapText="1"/>
    </xf>
    <xf numFmtId="4" fontId="6" fillId="0" borderId="1" xfId="0" applyNumberFormat="1" applyFont="1" applyBorder="1" applyAlignment="1">
      <alignment horizontal="center" wrapText="1"/>
    </xf>
    <xf numFmtId="4" fontId="6" fillId="0" borderId="1" xfId="0" applyNumberFormat="1" applyFont="1" applyBorder="1" applyAlignment="1">
      <alignment horizontal="right"/>
    </xf>
    <xf numFmtId="9" fontId="6" fillId="4" borderId="1" xfId="0" applyNumberFormat="1" applyFont="1" applyFill="1" applyBorder="1" applyAlignment="1">
      <alignment wrapText="1"/>
    </xf>
    <xf numFmtId="4" fontId="6" fillId="0" borderId="0" xfId="0" applyNumberFormat="1" applyFont="1" applyAlignment="1">
      <alignment horizontal="right"/>
    </xf>
    <xf numFmtId="4" fontId="6" fillId="0" borderId="1" xfId="0" applyNumberFormat="1" applyFont="1" applyBorder="1" applyAlignment="1">
      <alignment horizontal="center"/>
    </xf>
    <xf numFmtId="0" fontId="6" fillId="4" borderId="1" xfId="0" applyFont="1" applyFill="1" applyBorder="1" applyAlignment="1">
      <alignment vertical="top" wrapText="1"/>
    </xf>
    <xf numFmtId="4" fontId="6" fillId="5" borderId="1" xfId="0" applyNumberFormat="1" applyFont="1" applyFill="1" applyBorder="1" applyAlignment="1">
      <alignment horizontal="center" vertical="top" wrapText="1"/>
    </xf>
    <xf numFmtId="4" fontId="8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9"/>
  <sheetViews>
    <sheetView tabSelected="1" zoomScale="83" zoomScaleNormal="130" workbookViewId="0">
      <selection activeCell="L24" sqref="L24"/>
    </sheetView>
  </sheetViews>
  <sheetFormatPr defaultRowHeight="15" x14ac:dyDescent="0.25"/>
  <cols>
    <col min="1" max="1" width="15.28515625" customWidth="1"/>
    <col min="2" max="2" width="17.85546875" customWidth="1"/>
    <col min="3" max="3" width="45.85546875" customWidth="1"/>
    <col min="4" max="4" width="12.42578125" customWidth="1"/>
    <col min="5" max="5" width="16.7109375" customWidth="1"/>
    <col min="6" max="6" width="15" customWidth="1"/>
    <col min="7" max="7" width="17" customWidth="1"/>
    <col min="8" max="8" width="15.5703125" customWidth="1"/>
  </cols>
  <sheetData>
    <row r="2" spans="2:10" x14ac:dyDescent="0.25">
      <c r="B2" s="1" t="s">
        <v>0</v>
      </c>
      <c r="C2" s="1"/>
      <c r="D2" s="2"/>
      <c r="E2" s="2"/>
      <c r="F2" s="2"/>
      <c r="G2" s="3"/>
    </row>
    <row r="3" spans="2:10" x14ac:dyDescent="0.25">
      <c r="B3" s="4" t="s">
        <v>1</v>
      </c>
      <c r="C3" s="2"/>
      <c r="D3" s="5" t="s">
        <v>2</v>
      </c>
      <c r="E3" s="28"/>
      <c r="F3" s="29"/>
      <c r="G3" s="3"/>
    </row>
    <row r="4" spans="2:10" x14ac:dyDescent="0.25">
      <c r="B4" s="6" t="s">
        <v>3</v>
      </c>
      <c r="C4" s="6" t="s">
        <v>4</v>
      </c>
      <c r="D4" s="6" t="s">
        <v>5</v>
      </c>
      <c r="E4" s="6" t="s">
        <v>16</v>
      </c>
      <c r="F4" s="6" t="s">
        <v>6</v>
      </c>
      <c r="G4" s="6" t="s">
        <v>19</v>
      </c>
    </row>
    <row r="5" spans="2:10" ht="15.75" x14ac:dyDescent="0.25">
      <c r="B5" s="9" t="s">
        <v>7</v>
      </c>
      <c r="C5" s="10" t="s">
        <v>30</v>
      </c>
      <c r="D5" s="11">
        <v>1</v>
      </c>
      <c r="E5" s="12">
        <v>99000</v>
      </c>
      <c r="F5" s="13">
        <v>99000</v>
      </c>
      <c r="G5" s="14"/>
    </row>
    <row r="6" spans="2:10" ht="15.75" x14ac:dyDescent="0.25">
      <c r="B6" s="9" t="s">
        <v>8</v>
      </c>
      <c r="C6" s="15" t="s">
        <v>20</v>
      </c>
      <c r="D6" s="11">
        <v>1</v>
      </c>
      <c r="E6" s="12">
        <v>150000</v>
      </c>
      <c r="F6" s="13">
        <v>150000</v>
      </c>
      <c r="G6" s="14"/>
      <c r="I6">
        <v>355</v>
      </c>
    </row>
    <row r="7" spans="2:10" ht="31.5" x14ac:dyDescent="0.25">
      <c r="B7" s="9" t="s">
        <v>9</v>
      </c>
      <c r="C7" s="16" t="s">
        <v>22</v>
      </c>
      <c r="D7" s="11">
        <v>2</v>
      </c>
      <c r="E7" s="12">
        <v>180000</v>
      </c>
      <c r="F7" s="17">
        <v>360000</v>
      </c>
      <c r="G7" s="14"/>
      <c r="I7">
        <f>I6/2</f>
        <v>177.5</v>
      </c>
      <c r="J7">
        <f>I6/4</f>
        <v>88.75</v>
      </c>
    </row>
    <row r="8" spans="2:10" ht="15" customHeight="1" x14ac:dyDescent="0.25">
      <c r="B8" s="9" t="s">
        <v>10</v>
      </c>
      <c r="C8" s="18" t="s">
        <v>21</v>
      </c>
      <c r="D8" s="11">
        <v>2</v>
      </c>
      <c r="E8" s="12">
        <v>7500</v>
      </c>
      <c r="F8" s="17">
        <v>15000</v>
      </c>
      <c r="G8" s="14"/>
      <c r="I8">
        <v>4031</v>
      </c>
    </row>
    <row r="9" spans="2:10" ht="15.75" x14ac:dyDescent="0.25">
      <c r="B9" s="9" t="s">
        <v>11</v>
      </c>
      <c r="C9" s="19" t="s">
        <v>23</v>
      </c>
      <c r="D9" s="11">
        <v>16</v>
      </c>
      <c r="E9" s="12">
        <v>210000</v>
      </c>
      <c r="F9" s="17">
        <v>3360000</v>
      </c>
      <c r="G9" s="14"/>
      <c r="I9">
        <f>I8/2</f>
        <v>2015.5</v>
      </c>
    </row>
    <row r="10" spans="2:10" ht="15.75" x14ac:dyDescent="0.25">
      <c r="B10" s="9" t="s">
        <v>12</v>
      </c>
      <c r="C10" s="19" t="s">
        <v>24</v>
      </c>
      <c r="D10" s="11">
        <v>2</v>
      </c>
      <c r="E10" s="12">
        <v>30600</v>
      </c>
      <c r="F10" s="17">
        <v>62000</v>
      </c>
      <c r="G10" s="14"/>
      <c r="I10">
        <f>I9/2</f>
        <v>1007.75</v>
      </c>
    </row>
    <row r="11" spans="2:10" ht="15.75" x14ac:dyDescent="0.25">
      <c r="B11" s="9" t="s">
        <v>25</v>
      </c>
      <c r="C11" s="16" t="s">
        <v>26</v>
      </c>
      <c r="D11" s="11">
        <v>8</v>
      </c>
      <c r="E11" s="12">
        <v>54000</v>
      </c>
      <c r="F11" s="17">
        <v>440000</v>
      </c>
      <c r="G11" s="14"/>
    </row>
    <row r="12" spans="2:10" ht="15.75" x14ac:dyDescent="0.25">
      <c r="B12" s="9" t="s">
        <v>27</v>
      </c>
      <c r="C12" s="16" t="s">
        <v>28</v>
      </c>
      <c r="D12" s="11">
        <v>1</v>
      </c>
      <c r="E12" s="12">
        <v>95000</v>
      </c>
      <c r="F12" s="17">
        <v>120000</v>
      </c>
      <c r="G12" s="14"/>
    </row>
    <row r="13" spans="2:10" ht="15.75" x14ac:dyDescent="0.25">
      <c r="B13" s="9" t="s">
        <v>13</v>
      </c>
      <c r="C13" s="16" t="s">
        <v>29</v>
      </c>
      <c r="D13" s="11">
        <v>1</v>
      </c>
      <c r="E13" s="12">
        <v>0</v>
      </c>
      <c r="F13" s="20">
        <v>10000</v>
      </c>
      <c r="G13" s="14"/>
    </row>
    <row r="14" spans="2:10" ht="16.149999999999999" customHeight="1" x14ac:dyDescent="0.25">
      <c r="B14" s="9"/>
      <c r="C14" s="19"/>
      <c r="D14" s="11"/>
      <c r="E14" s="12"/>
      <c r="F14" s="20"/>
      <c r="G14" s="14" t="s">
        <v>31</v>
      </c>
    </row>
    <row r="15" spans="2:10" ht="16.149999999999999" customHeight="1" x14ac:dyDescent="0.25">
      <c r="B15" s="9"/>
      <c r="C15" s="21"/>
      <c r="D15" s="22" t="s">
        <v>17</v>
      </c>
      <c r="E15" s="23"/>
      <c r="F15" s="8">
        <f>SUM(F5:F14)</f>
        <v>4616000</v>
      </c>
      <c r="G15" s="31">
        <f>F15*4</f>
        <v>18464000</v>
      </c>
    </row>
    <row r="16" spans="2:10" ht="18" customHeight="1" x14ac:dyDescent="0.25">
      <c r="B16" s="9"/>
      <c r="C16" s="21"/>
      <c r="D16" s="30">
        <v>0.15</v>
      </c>
      <c r="E16" s="23"/>
      <c r="F16" s="24">
        <f>F15*15%</f>
        <v>692400</v>
      </c>
      <c r="G16" s="31">
        <f>F16*4</f>
        <v>2769600</v>
      </c>
    </row>
    <row r="17" spans="2:7" ht="15.75" x14ac:dyDescent="0.25">
      <c r="B17" s="9"/>
      <c r="C17" s="9"/>
      <c r="D17" s="22" t="s">
        <v>18</v>
      </c>
      <c r="E17" s="25"/>
      <c r="F17" s="8">
        <f>SUM(F15:F16)</f>
        <v>5308400</v>
      </c>
      <c r="G17" s="31">
        <f>F17*4</f>
        <v>21233600</v>
      </c>
    </row>
    <row r="18" spans="2:7" ht="15.75" x14ac:dyDescent="0.25">
      <c r="B18" s="9"/>
      <c r="C18" s="9"/>
      <c r="D18" s="26" t="s">
        <v>14</v>
      </c>
      <c r="E18" s="27"/>
      <c r="F18" s="7">
        <f>F17*18%</f>
        <v>955512</v>
      </c>
      <c r="G18" s="31">
        <f>F18*4</f>
        <v>3822048</v>
      </c>
    </row>
    <row r="19" spans="2:7" ht="15.75" x14ac:dyDescent="0.25">
      <c r="B19" s="9"/>
      <c r="C19" s="9"/>
      <c r="D19" s="26" t="s">
        <v>15</v>
      </c>
      <c r="E19" s="27"/>
      <c r="F19" s="7">
        <f>SUM(F17:F18)</f>
        <v>6263912</v>
      </c>
      <c r="G19" s="31">
        <f>F19*4</f>
        <v>25055648</v>
      </c>
    </row>
    <row r="22" spans="2:7" x14ac:dyDescent="0.25">
      <c r="B22" s="32" t="s">
        <v>3</v>
      </c>
      <c r="C22" s="32" t="s">
        <v>4</v>
      </c>
      <c r="D22" s="32" t="s">
        <v>5</v>
      </c>
      <c r="E22" s="32" t="s">
        <v>16</v>
      </c>
      <c r="F22" s="32" t="s">
        <v>6</v>
      </c>
    </row>
    <row r="23" spans="2:7" ht="30" x14ac:dyDescent="0.25">
      <c r="B23" s="33" t="s">
        <v>7</v>
      </c>
      <c r="C23" s="34" t="s">
        <v>33</v>
      </c>
      <c r="D23" s="35">
        <v>1</v>
      </c>
      <c r="E23" s="36">
        <v>130000</v>
      </c>
      <c r="F23" s="37">
        <v>130000</v>
      </c>
      <c r="G23" t="s">
        <v>44</v>
      </c>
    </row>
    <row r="24" spans="2:7" ht="45" x14ac:dyDescent="0.25">
      <c r="B24" s="33" t="s">
        <v>8</v>
      </c>
      <c r="C24" s="38" t="s">
        <v>34</v>
      </c>
      <c r="D24" s="35">
        <v>1</v>
      </c>
      <c r="E24" s="36">
        <v>75000</v>
      </c>
      <c r="F24" s="37">
        <v>85000</v>
      </c>
      <c r="G24" t="s">
        <v>44</v>
      </c>
    </row>
    <row r="25" spans="2:7" ht="30" x14ac:dyDescent="0.25">
      <c r="B25" s="33" t="s">
        <v>9</v>
      </c>
      <c r="C25" s="39" t="s">
        <v>35</v>
      </c>
      <c r="D25" s="35">
        <v>1</v>
      </c>
      <c r="E25" s="36">
        <v>60300</v>
      </c>
      <c r="F25" s="37">
        <v>60500</v>
      </c>
      <c r="G25" t="s">
        <v>44</v>
      </c>
    </row>
    <row r="26" spans="2:7" ht="15.75" x14ac:dyDescent="0.25">
      <c r="B26" s="33"/>
      <c r="C26" s="39" t="s">
        <v>36</v>
      </c>
      <c r="D26" s="35">
        <v>1</v>
      </c>
      <c r="E26" s="36">
        <v>7500</v>
      </c>
      <c r="F26" s="37">
        <v>7500</v>
      </c>
      <c r="G26" t="s">
        <v>44</v>
      </c>
    </row>
    <row r="27" spans="2:7" ht="15.75" x14ac:dyDescent="0.25">
      <c r="B27" s="33" t="s">
        <v>10</v>
      </c>
      <c r="C27" s="40" t="s">
        <v>37</v>
      </c>
      <c r="D27" s="35">
        <v>2</v>
      </c>
      <c r="E27" s="36">
        <v>210000</v>
      </c>
      <c r="F27" s="37">
        <v>420000</v>
      </c>
      <c r="G27" t="s">
        <v>44</v>
      </c>
    </row>
    <row r="28" spans="2:7" ht="15.75" x14ac:dyDescent="0.25">
      <c r="B28" s="33" t="s">
        <v>11</v>
      </c>
      <c r="C28" s="39" t="s">
        <v>38</v>
      </c>
      <c r="D28" s="35">
        <v>2</v>
      </c>
      <c r="E28" s="36">
        <v>30600</v>
      </c>
      <c r="F28" s="37">
        <v>62000</v>
      </c>
      <c r="G28" t="s">
        <v>44</v>
      </c>
    </row>
    <row r="29" spans="2:7" ht="15.75" x14ac:dyDescent="0.25">
      <c r="B29" s="33" t="s">
        <v>12</v>
      </c>
      <c r="C29" s="40" t="s">
        <v>32</v>
      </c>
      <c r="D29" s="35">
        <v>8</v>
      </c>
      <c r="E29" s="36">
        <v>69000</v>
      </c>
      <c r="F29" s="37">
        <f>E29*8</f>
        <v>552000</v>
      </c>
      <c r="G29" t="s">
        <v>44</v>
      </c>
    </row>
    <row r="30" spans="2:7" ht="15.75" x14ac:dyDescent="0.25">
      <c r="B30" s="33" t="s">
        <v>27</v>
      </c>
      <c r="C30" s="41" t="s">
        <v>39</v>
      </c>
      <c r="D30" s="35">
        <v>1</v>
      </c>
      <c r="E30" s="36">
        <v>200000</v>
      </c>
      <c r="F30" s="42">
        <v>200000</v>
      </c>
      <c r="G30" t="s">
        <v>44</v>
      </c>
    </row>
    <row r="31" spans="2:7" ht="15.75" x14ac:dyDescent="0.25">
      <c r="B31" s="33"/>
      <c r="C31" s="41" t="s">
        <v>40</v>
      </c>
      <c r="D31" s="35">
        <v>1</v>
      </c>
      <c r="E31" s="43">
        <v>5000</v>
      </c>
      <c r="F31" s="42">
        <v>5000</v>
      </c>
      <c r="G31" t="s">
        <v>44</v>
      </c>
    </row>
    <row r="32" spans="2:7" ht="15.75" x14ac:dyDescent="0.25">
      <c r="B32" s="33"/>
      <c r="C32" s="41" t="s">
        <v>41</v>
      </c>
      <c r="D32" s="35">
        <v>1</v>
      </c>
      <c r="E32" s="43">
        <v>30000</v>
      </c>
      <c r="F32" s="42">
        <v>40000</v>
      </c>
      <c r="G32" t="s">
        <v>44</v>
      </c>
    </row>
    <row r="33" spans="2:7" ht="15.75" x14ac:dyDescent="0.25">
      <c r="B33" s="33" t="s">
        <v>42</v>
      </c>
      <c r="C33" s="41" t="s">
        <v>29</v>
      </c>
      <c r="D33" s="35">
        <v>1</v>
      </c>
      <c r="E33" s="43">
        <v>0</v>
      </c>
      <c r="F33" s="42">
        <v>10000</v>
      </c>
      <c r="G33" t="s">
        <v>44</v>
      </c>
    </row>
    <row r="34" spans="2:7" ht="22.5" x14ac:dyDescent="0.25">
      <c r="B34" s="33"/>
      <c r="C34" s="44" t="s">
        <v>43</v>
      </c>
      <c r="D34" s="35"/>
      <c r="E34" s="36"/>
      <c r="F34" s="45"/>
    </row>
    <row r="35" spans="2:7" ht="15.75" x14ac:dyDescent="0.25">
      <c r="B35" s="33"/>
      <c r="C35" s="46"/>
      <c r="D35" s="47" t="s">
        <v>17</v>
      </c>
      <c r="E35" s="48"/>
      <c r="F35" s="49">
        <f>SUM(F23:F34)</f>
        <v>1572000</v>
      </c>
    </row>
    <row r="36" spans="2:7" ht="15.75" x14ac:dyDescent="0.25">
      <c r="B36" s="33"/>
      <c r="C36" s="46"/>
      <c r="D36" s="50">
        <v>0.15</v>
      </c>
      <c r="E36" s="48"/>
      <c r="F36" s="51">
        <f>F35*15%</f>
        <v>235800</v>
      </c>
    </row>
    <row r="37" spans="2:7" ht="15.75" x14ac:dyDescent="0.25">
      <c r="B37" s="33"/>
      <c r="C37" s="33"/>
      <c r="D37" s="47" t="s">
        <v>18</v>
      </c>
      <c r="E37" s="52"/>
      <c r="F37" s="49">
        <f>SUM(F35:F36)</f>
        <v>1807800</v>
      </c>
    </row>
    <row r="38" spans="2:7" ht="15.75" x14ac:dyDescent="0.25">
      <c r="B38" s="33"/>
      <c r="C38" s="33"/>
      <c r="D38" s="53" t="s">
        <v>14</v>
      </c>
      <c r="E38" s="54"/>
      <c r="F38" s="55">
        <f>F37*18%</f>
        <v>325404</v>
      </c>
    </row>
    <row r="39" spans="2:7" ht="15.75" x14ac:dyDescent="0.25">
      <c r="B39" s="33"/>
      <c r="C39" s="33"/>
      <c r="D39" s="53" t="s">
        <v>15</v>
      </c>
      <c r="E39" s="54"/>
      <c r="F39" s="55">
        <f>SUM(F37:F38)</f>
        <v>2133204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2026-08-18T04:36:31Z</dcterms:modified>
</cp:coreProperties>
</file>