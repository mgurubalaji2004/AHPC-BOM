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4665" windowHeight="8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E16" i="1"/>
  <c r="E32" i="1" l="1"/>
</calcChain>
</file>

<file path=xl/sharedStrings.xml><?xml version="1.0" encoding="utf-8"?>
<sst xmlns="http://schemas.openxmlformats.org/spreadsheetml/2006/main" count="100" uniqueCount="47">
  <si>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</si>
  <si>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</si>
  <si>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</si>
  <si>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</si>
  <si>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</si>
  <si>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</si>
  <si>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</si>
  <si>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</si>
  <si>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</si>
  <si>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</si>
  <si>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</si>
  <si>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</si>
  <si>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</si>
  <si>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</si>
  <si>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</si>
  <si>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</si>
  <si>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</si>
  <si>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</si>
  <si>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</si>
  <si>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</si>
  <si>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>32 GB DDR5 ECC RDIMM </t>
  </si>
  <si>
    <t>1.92 TB SATA SSD RAID-1</t>
  </si>
  <si>
    <t>network</t>
  </si>
  <si>
    <t>Dual-port 25 GbE SFP28 </t>
  </si>
  <si>
    <t>Dual-port 100 GbE QSFP28 </t>
  </si>
  <si>
    <t>Onboard 1 GbE + dedicated iDRAC/iLO/BMC port</t>
  </si>
  <si>
    <t>HW RAID, 4 GB cache + BBU/flash</t>
  </si>
  <si>
    <t>Raid Controller</t>
  </si>
  <si>
    <t>Intel Xeon 6767P or 6787P</t>
  </si>
  <si>
    <t>GPU NVIDIA L40S/H100/H200 vGPU Support</t>
  </si>
  <si>
    <t>GPU</t>
  </si>
  <si>
    <t>2400 W Titanium hot-plug redundant</t>
  </si>
  <si>
    <t>Total QTY</t>
  </si>
  <si>
    <t>Intel® Xeon® Gold 6548Y+ Processor (Cores 32, Base Freq 2.5GHz, Max Freq 4.1GHz, Cache 60MB)</t>
  </si>
  <si>
    <t>NVMe</t>
  </si>
  <si>
    <t>MS73-HB0
MS73-HB2  Intel® C741 Chipset with 16 x DIMMs Motherboard</t>
  </si>
  <si>
    <t>Intel® Xeon® Silver 4516Y+ Processor (Cores 24, Base Freq 2.2GHz, Max Freq 3.7GHz, Cache 45MB)</t>
  </si>
  <si>
    <t xml:space="preserve">2U Rack mountable Chassis </t>
  </si>
  <si>
    <t>S5R1 Dynatron</t>
  </si>
  <si>
    <t>1200W RPS</t>
  </si>
  <si>
    <t xml:space="preserve">BIOS MCIO default sata NVMe </t>
  </si>
  <si>
    <t>7.68TB SAS/SATA SSD</t>
  </si>
  <si>
    <t>7.68TB U.2 NVMe SSD </t>
  </si>
  <si>
    <t>9560-8i</t>
  </si>
  <si>
    <t>S5R1-4710 Dynatron</t>
  </si>
  <si>
    <t xml:space="preserve">4U Rack mountable Chassis </t>
  </si>
  <si>
    <t>MS74-HB0 Dual Intel Socket, Intel SoC Chipset with 16 x DIMMs Motherboard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</si>
</sst>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 vertical="center" readingOrder="1"/>
    </xf>
    <xf numFmtId="3" fontId="0" fillId="0" borderId="3" xfId="0" applyNumberFormat="1" applyFont="1" applyBorder="1" applyAlignment="1">
      <alignment horizontal="center" vertical="center" readingOrder="1"/>
    </xf>
    <xf numFmtId="3" fontId="0" fillId="0" borderId="4" xfId="0" applyNumberFormat="1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zoomScaleNormal="130" workbookViewId="0">
      <selection activeCell="E12" sqref="E12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6" width="16.7109375" customWidth="1"/>
    <col min="7" max="7" width="30.42578125" customWidth="1"/>
  </cols>
  <sheetData>
    <row r="1" spans="1:7" x14ac:dyDescent="0.25">
      <c r="A1" s="1" t="s">
        <v>0</v>
      </c>
      <c r="B1" s="1"/>
      <c r="C1" s="2"/>
      <c r="D1" s="2"/>
      <c r="E1" s="2"/>
      <c r="F1" s="2"/>
      <c r="G1" s="3"/>
    </row>
    <row r="2" spans="1:7" x14ac:dyDescent="0.25">
      <c r="A2" s="4" t="s">
        <v>1</v>
      </c>
      <c r="B2" s="2"/>
      <c r="C2" s="5" t="s">
        <v>2</v>
      </c>
      <c r="D2" s="32"/>
      <c r="E2" s="33"/>
      <c r="F2" s="26"/>
      <c r="G2" s="3"/>
    </row>
    <row r="3" spans="1:7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32</v>
      </c>
      <c r="G3" s="6" t="s">
        <v>16</v>
      </c>
    </row>
    <row r="4" spans="1:7" x14ac:dyDescent="0.25">
      <c r="A4" s="2" t="s">
        <v>7</v>
      </c>
      <c r="B4" s="12" t="s">
        <v>37</v>
      </c>
      <c r="C4" s="8">
        <v>1</v>
      </c>
      <c r="D4" s="13">
        <v>99000</v>
      </c>
      <c r="E4" s="16">
        <v>99000</v>
      </c>
      <c r="F4" s="34">
        <v>4</v>
      </c>
      <c r="G4" s="3"/>
    </row>
    <row r="5" spans="1:7" ht="45" x14ac:dyDescent="0.25">
      <c r="A5" s="2" t="s">
        <v>8</v>
      </c>
      <c r="B5" s="11" t="s">
        <v>35</v>
      </c>
      <c r="C5" s="15">
        <v>1</v>
      </c>
      <c r="D5" s="13">
        <v>99000</v>
      </c>
      <c r="E5" s="16">
        <v>99000</v>
      </c>
      <c r="F5" s="35"/>
      <c r="G5" s="3" t="s">
        <v>40</v>
      </c>
    </row>
    <row r="6" spans="1:7" ht="30" x14ac:dyDescent="0.25">
      <c r="A6" s="2" t="s">
        <v>9</v>
      </c>
      <c r="B6" s="7" t="s">
        <v>33</v>
      </c>
      <c r="C6" s="15">
        <v>2</v>
      </c>
      <c r="D6" s="13">
        <v>390000</v>
      </c>
      <c r="E6" s="24">
        <v>780000</v>
      </c>
      <c r="F6" s="35"/>
      <c r="G6" s="3"/>
    </row>
    <row r="7" spans="1:7" x14ac:dyDescent="0.25">
      <c r="A7" s="2" t="s">
        <v>10</v>
      </c>
      <c r="B7" s="3" t="s">
        <v>38</v>
      </c>
      <c r="C7" s="15">
        <v>2</v>
      </c>
      <c r="D7" s="13">
        <v>6000</v>
      </c>
      <c r="E7" s="24">
        <v>12000</v>
      </c>
      <c r="F7" s="35"/>
      <c r="G7" s="3"/>
    </row>
    <row r="8" spans="1:7" x14ac:dyDescent="0.25">
      <c r="A8" s="2" t="s">
        <v>11</v>
      </c>
      <c r="B8" s="30" t="s">
        <v>20</v>
      </c>
      <c r="C8" s="15">
        <v>8</v>
      </c>
      <c r="D8" s="13">
        <v>90000</v>
      </c>
      <c r="E8" s="24">
        <v>720000</v>
      </c>
      <c r="F8" s="35"/>
      <c r="G8" s="3"/>
    </row>
    <row r="9" spans="1:7" x14ac:dyDescent="0.25">
      <c r="A9" s="2" t="s">
        <v>12</v>
      </c>
      <c r="B9" s="30" t="s">
        <v>41</v>
      </c>
      <c r="C9" s="26">
        <v>4</v>
      </c>
      <c r="D9" s="24">
        <v>297000</v>
      </c>
      <c r="E9" s="24">
        <v>1188000</v>
      </c>
      <c r="F9" s="35"/>
      <c r="G9" s="3"/>
    </row>
    <row r="10" spans="1:7" x14ac:dyDescent="0.25">
      <c r="A10" s="2" t="s">
        <v>34</v>
      </c>
      <c r="B10" s="30" t="s">
        <v>42</v>
      </c>
      <c r="C10" s="26">
        <v>4</v>
      </c>
      <c r="D10" s="24">
        <v>252000</v>
      </c>
      <c r="E10" s="24">
        <v>1008000</v>
      </c>
      <c r="F10" s="35"/>
      <c r="G10" s="3"/>
    </row>
    <row r="11" spans="1:7" x14ac:dyDescent="0.25">
      <c r="A11" s="2" t="s">
        <v>12</v>
      </c>
      <c r="B11" s="30" t="s">
        <v>21</v>
      </c>
      <c r="C11" s="15">
        <v>2</v>
      </c>
      <c r="D11" s="13">
        <v>165000</v>
      </c>
      <c r="E11" s="24">
        <v>330000</v>
      </c>
      <c r="F11" s="35"/>
      <c r="G11" s="3"/>
    </row>
    <row r="12" spans="1:7" x14ac:dyDescent="0.25">
      <c r="A12" s="2" t="s">
        <v>13</v>
      </c>
      <c r="B12" s="7" t="s">
        <v>39</v>
      </c>
      <c r="C12" s="15">
        <v>1</v>
      </c>
      <c r="D12" s="13">
        <v>0</v>
      </c>
      <c r="E12" s="22">
        <v>0</v>
      </c>
      <c r="F12" s="35"/>
      <c r="G12" s="3"/>
    </row>
    <row r="13" spans="1:7" x14ac:dyDescent="0.25">
      <c r="A13" s="2" t="s">
        <v>27</v>
      </c>
      <c r="B13" s="7" t="s">
        <v>43</v>
      </c>
      <c r="C13" s="27">
        <v>1</v>
      </c>
      <c r="D13" s="13">
        <v>99000</v>
      </c>
      <c r="E13" s="22">
        <v>99000</v>
      </c>
      <c r="F13" s="35"/>
      <c r="G13" s="3"/>
    </row>
    <row r="14" spans="1:7" x14ac:dyDescent="0.25">
      <c r="A14" s="2" t="s">
        <v>22</v>
      </c>
      <c r="B14" s="30" t="s">
        <v>23</v>
      </c>
      <c r="C14" s="15">
        <v>2</v>
      </c>
      <c r="D14" s="14">
        <v>25200</v>
      </c>
      <c r="E14" s="25">
        <v>50000</v>
      </c>
      <c r="F14" s="35"/>
      <c r="G14" s="3"/>
    </row>
    <row r="15" spans="1:7" ht="14.25" customHeight="1" x14ac:dyDescent="0.25">
      <c r="A15" s="2" t="s">
        <v>22</v>
      </c>
      <c r="B15" s="30" t="s">
        <v>24</v>
      </c>
      <c r="C15" s="15">
        <v>2</v>
      </c>
      <c r="D15" s="13">
        <v>36000</v>
      </c>
      <c r="E15" s="22">
        <v>70000</v>
      </c>
      <c r="F15" s="36"/>
      <c r="G15" s="3"/>
    </row>
    <row r="16" spans="1:7" ht="16.149999999999999" customHeight="1" x14ac:dyDescent="0.25">
      <c r="A16" s="2"/>
      <c r="B16" s="29"/>
      <c r="C16" s="10" t="s">
        <v>18</v>
      </c>
      <c r="D16" s="17"/>
      <c r="E16" s="28">
        <f>SUM(E4:E15)</f>
        <v>4455000</v>
      </c>
      <c r="F16" s="23"/>
      <c r="G16" s="3"/>
    </row>
    <row r="17" spans="1:7" ht="18" customHeight="1" x14ac:dyDescent="0.25">
      <c r="A17" s="2"/>
      <c r="B17" s="30" t="s">
        <v>25</v>
      </c>
      <c r="C17" s="10" t="s">
        <v>19</v>
      </c>
      <c r="D17" s="18"/>
      <c r="E17" s="19">
        <v>5123250</v>
      </c>
      <c r="F17" s="19">
        <v>20493000</v>
      </c>
      <c r="G17" s="3"/>
    </row>
    <row r="18" spans="1:7" ht="15.75" x14ac:dyDescent="0.25">
      <c r="A18" s="2"/>
      <c r="B18" s="2"/>
      <c r="C18" s="6" t="s">
        <v>14</v>
      </c>
      <c r="D18" s="20"/>
      <c r="E18" s="21"/>
      <c r="F18" s="21">
        <v>3688740</v>
      </c>
      <c r="G18" s="3"/>
    </row>
    <row r="19" spans="1:7" ht="15.75" x14ac:dyDescent="0.25">
      <c r="A19" s="2"/>
      <c r="B19" s="2"/>
      <c r="C19" s="6" t="s">
        <v>15</v>
      </c>
      <c r="D19" s="20"/>
      <c r="E19" s="21"/>
      <c r="F19" s="21">
        <v>24181740</v>
      </c>
      <c r="G19" s="3"/>
    </row>
    <row r="22" spans="1:7" x14ac:dyDescent="0.25">
      <c r="A22" s="6" t="s">
        <v>3</v>
      </c>
      <c r="B22" s="6" t="s">
        <v>4</v>
      </c>
      <c r="C22" s="6" t="s">
        <v>5</v>
      </c>
      <c r="D22" s="6" t="s">
        <v>17</v>
      </c>
      <c r="E22" s="6" t="s">
        <v>6</v>
      </c>
      <c r="F22" s="6"/>
      <c r="G22" s="6" t="s">
        <v>16</v>
      </c>
    </row>
    <row r="23" spans="1:7" x14ac:dyDescent="0.25">
      <c r="A23" s="2" t="s">
        <v>7</v>
      </c>
      <c r="B23" s="12" t="s">
        <v>37</v>
      </c>
      <c r="C23" s="26">
        <v>1</v>
      </c>
      <c r="D23" s="13">
        <v>100000</v>
      </c>
      <c r="E23" s="16">
        <v>100000</v>
      </c>
      <c r="F23" s="34">
        <v>3</v>
      </c>
      <c r="G23" s="3"/>
    </row>
    <row r="24" spans="1:7" ht="45" x14ac:dyDescent="0.25">
      <c r="A24" s="2" t="s">
        <v>8</v>
      </c>
      <c r="B24" s="11" t="s">
        <v>35</v>
      </c>
      <c r="C24" s="26">
        <v>1</v>
      </c>
      <c r="D24" s="13">
        <v>100000</v>
      </c>
      <c r="E24" s="16">
        <v>100000</v>
      </c>
      <c r="F24" s="35"/>
      <c r="G24" s="3"/>
    </row>
    <row r="25" spans="1:7" ht="30" x14ac:dyDescent="0.25">
      <c r="A25" s="2" t="s">
        <v>9</v>
      </c>
      <c r="B25" s="7" t="s">
        <v>36</v>
      </c>
      <c r="C25" s="26">
        <v>2</v>
      </c>
      <c r="D25" s="13">
        <v>279000</v>
      </c>
      <c r="E25" s="24">
        <v>558000</v>
      </c>
      <c r="F25" s="35"/>
      <c r="G25" s="3"/>
    </row>
    <row r="26" spans="1:7" x14ac:dyDescent="0.25">
      <c r="A26" s="2" t="s">
        <v>10</v>
      </c>
      <c r="B26" s="3" t="s">
        <v>38</v>
      </c>
      <c r="C26" s="26">
        <v>2</v>
      </c>
      <c r="D26" s="13">
        <v>6000</v>
      </c>
      <c r="E26" s="24">
        <v>12000</v>
      </c>
      <c r="F26" s="35"/>
      <c r="G26" s="3"/>
    </row>
    <row r="27" spans="1:7" x14ac:dyDescent="0.25">
      <c r="A27" s="2" t="s">
        <v>11</v>
      </c>
      <c r="B27" s="30" t="s">
        <v>20</v>
      </c>
      <c r="C27" s="26">
        <v>8</v>
      </c>
      <c r="D27" s="13">
        <v>90000</v>
      </c>
      <c r="E27" s="24">
        <v>720000</v>
      </c>
      <c r="F27" s="35"/>
      <c r="G27" s="3"/>
    </row>
    <row r="28" spans="1:7" x14ac:dyDescent="0.25">
      <c r="A28" s="2" t="s">
        <v>12</v>
      </c>
      <c r="B28" s="30" t="s">
        <v>21</v>
      </c>
      <c r="C28" s="26">
        <v>2</v>
      </c>
      <c r="D28" s="13">
        <v>165000</v>
      </c>
      <c r="E28" s="24">
        <v>330000</v>
      </c>
      <c r="F28" s="35"/>
      <c r="G28" s="3"/>
    </row>
    <row r="29" spans="1:7" x14ac:dyDescent="0.25">
      <c r="A29" s="2" t="s">
        <v>27</v>
      </c>
      <c r="B29" s="30" t="s">
        <v>26</v>
      </c>
      <c r="C29" s="26">
        <v>1</v>
      </c>
      <c r="D29" s="13">
        <v>99000</v>
      </c>
      <c r="E29" s="24">
        <v>99000</v>
      </c>
      <c r="F29" s="35"/>
      <c r="G29" s="3"/>
    </row>
    <row r="30" spans="1:7" x14ac:dyDescent="0.25">
      <c r="A30" s="2" t="s">
        <v>13</v>
      </c>
      <c r="B30" s="7" t="s">
        <v>39</v>
      </c>
      <c r="C30" s="26">
        <v>1</v>
      </c>
      <c r="D30" s="13">
        <v>0</v>
      </c>
      <c r="E30" s="22">
        <v>0</v>
      </c>
      <c r="F30" s="35"/>
      <c r="G30" s="3"/>
    </row>
    <row r="31" spans="1:7" x14ac:dyDescent="0.25">
      <c r="A31" s="2" t="s">
        <v>22</v>
      </c>
      <c r="B31" s="30" t="s">
        <v>23</v>
      </c>
      <c r="C31" s="26">
        <v>2</v>
      </c>
      <c r="D31" s="14">
        <v>25200</v>
      </c>
      <c r="E31" s="25">
        <v>50000</v>
      </c>
      <c r="F31" s="36"/>
      <c r="G31" s="3"/>
    </row>
    <row r="32" spans="1:7" x14ac:dyDescent="0.25">
      <c r="A32" s="2"/>
      <c r="B32" s="29"/>
      <c r="C32" s="10" t="s">
        <v>18</v>
      </c>
      <c r="D32" s="17"/>
      <c r="E32" s="28">
        <f>SUM(E23:E31)</f>
        <v>1969000</v>
      </c>
      <c r="F32" s="23"/>
      <c r="G32" s="3"/>
    </row>
    <row r="33" spans="1:7" ht="30" x14ac:dyDescent="0.25">
      <c r="A33" s="2"/>
      <c r="B33" s="30" t="s">
        <v>25</v>
      </c>
      <c r="C33" s="10" t="s">
        <v>19</v>
      </c>
      <c r="D33" s="18"/>
      <c r="E33" s="19">
        <v>2264350</v>
      </c>
      <c r="F33" s="19">
        <v>6793050</v>
      </c>
      <c r="G33" s="3"/>
    </row>
    <row r="34" spans="1:7" ht="15.75" x14ac:dyDescent="0.25">
      <c r="A34" s="2"/>
      <c r="B34" s="2"/>
      <c r="C34" s="6" t="s">
        <v>14</v>
      </c>
      <c r="D34" s="20"/>
      <c r="E34" s="21"/>
      <c r="F34" s="21">
        <v>1222749</v>
      </c>
      <c r="G34" s="3"/>
    </row>
    <row r="35" spans="1:7" ht="15.75" x14ac:dyDescent="0.25">
      <c r="A35" s="2"/>
      <c r="B35" s="2"/>
      <c r="C35" s="6" t="s">
        <v>15</v>
      </c>
      <c r="D35" s="20"/>
      <c r="E35" s="21"/>
      <c r="F35" s="21">
        <v>8015799</v>
      </c>
      <c r="G35" s="3"/>
    </row>
    <row r="38" spans="1:7" x14ac:dyDescent="0.25">
      <c r="A38" s="6" t="s">
        <v>3</v>
      </c>
      <c r="B38" s="6" t="s">
        <v>4</v>
      </c>
      <c r="C38" s="6" t="s">
        <v>5</v>
      </c>
      <c r="D38" s="6" t="s">
        <v>17</v>
      </c>
      <c r="E38" s="6" t="s">
        <v>6</v>
      </c>
      <c r="F38" s="6"/>
      <c r="G38" s="6" t="s">
        <v>16</v>
      </c>
    </row>
    <row r="39" spans="1:7" x14ac:dyDescent="0.25">
      <c r="A39" s="2" t="s">
        <v>7</v>
      </c>
      <c r="B39" s="12" t="s">
        <v>45</v>
      </c>
      <c r="C39" s="27">
        <v>1</v>
      </c>
      <c r="D39" s="13">
        <v>100000</v>
      </c>
      <c r="E39" s="16">
        <v>100000</v>
      </c>
      <c r="F39" s="34">
        <v>4</v>
      </c>
      <c r="G39" s="3"/>
    </row>
    <row r="40" spans="1:7" ht="30" x14ac:dyDescent="0.25">
      <c r="A40" s="2" t="s">
        <v>8</v>
      </c>
      <c r="B40" s="31" t="s">
        <v>46</v>
      </c>
      <c r="C40" s="26"/>
      <c r="D40" s="13">
        <v>150000</v>
      </c>
      <c r="E40" s="16">
        <v>150000</v>
      </c>
      <c r="F40" s="35"/>
      <c r="G40" s="3"/>
    </row>
    <row r="41" spans="1:7" x14ac:dyDescent="0.25">
      <c r="A41" s="2" t="s">
        <v>9</v>
      </c>
      <c r="B41" s="30" t="s">
        <v>28</v>
      </c>
      <c r="C41" s="26">
        <v>2</v>
      </c>
      <c r="D41" s="13">
        <v>1018000</v>
      </c>
      <c r="E41" s="24">
        <v>2036000</v>
      </c>
      <c r="F41" s="35"/>
      <c r="G41" s="3"/>
    </row>
    <row r="42" spans="1:7" x14ac:dyDescent="0.25">
      <c r="A42" s="2" t="s">
        <v>10</v>
      </c>
      <c r="B42" s="3" t="s">
        <v>44</v>
      </c>
      <c r="C42" s="26">
        <v>2</v>
      </c>
      <c r="D42" s="13">
        <v>6500</v>
      </c>
      <c r="E42" s="24">
        <v>13000</v>
      </c>
      <c r="F42" s="35"/>
      <c r="G42" s="3"/>
    </row>
    <row r="43" spans="1:7" x14ac:dyDescent="0.25">
      <c r="A43" s="2" t="s">
        <v>11</v>
      </c>
      <c r="B43" s="30" t="s">
        <v>20</v>
      </c>
      <c r="C43" s="26">
        <v>16</v>
      </c>
      <c r="D43" s="13">
        <v>90000</v>
      </c>
      <c r="E43" s="24">
        <v>1440000</v>
      </c>
      <c r="F43" s="35"/>
      <c r="G43" s="3"/>
    </row>
    <row r="44" spans="1:7" x14ac:dyDescent="0.25">
      <c r="A44" s="2" t="s">
        <v>30</v>
      </c>
      <c r="B44" s="30" t="s">
        <v>29</v>
      </c>
      <c r="C44" s="26"/>
      <c r="D44" s="13"/>
      <c r="E44" s="24"/>
      <c r="F44" s="35"/>
      <c r="G44" s="3"/>
    </row>
    <row r="45" spans="1:7" x14ac:dyDescent="0.25">
      <c r="A45" s="2" t="s">
        <v>12</v>
      </c>
      <c r="B45" s="30" t="s">
        <v>21</v>
      </c>
      <c r="C45" s="26">
        <v>2</v>
      </c>
      <c r="D45" s="13">
        <v>165000</v>
      </c>
      <c r="E45" s="24">
        <v>330000</v>
      </c>
      <c r="F45" s="35"/>
      <c r="G45" s="3"/>
    </row>
    <row r="46" spans="1:7" x14ac:dyDescent="0.25">
      <c r="A46" s="2" t="s">
        <v>13</v>
      </c>
      <c r="B46" s="30" t="s">
        <v>31</v>
      </c>
      <c r="C46" s="26">
        <v>2</v>
      </c>
      <c r="D46" s="13">
        <v>70000</v>
      </c>
      <c r="E46" s="22">
        <v>70000</v>
      </c>
      <c r="F46" s="35"/>
      <c r="G46" s="3"/>
    </row>
    <row r="47" spans="1:7" x14ac:dyDescent="0.25">
      <c r="A47" s="2" t="s">
        <v>22</v>
      </c>
      <c r="B47" s="30" t="s">
        <v>23</v>
      </c>
      <c r="C47" s="26">
        <v>2</v>
      </c>
      <c r="D47" s="14">
        <v>25200</v>
      </c>
      <c r="E47" s="25">
        <v>50000</v>
      </c>
      <c r="F47" s="35"/>
      <c r="G47" s="3"/>
    </row>
    <row r="48" spans="1:7" x14ac:dyDescent="0.25">
      <c r="A48" s="2" t="s">
        <v>22</v>
      </c>
      <c r="B48" s="30" t="s">
        <v>24</v>
      </c>
      <c r="C48" s="26">
        <v>2</v>
      </c>
      <c r="D48" s="13">
        <v>36000</v>
      </c>
      <c r="E48" s="22">
        <v>70000</v>
      </c>
      <c r="F48" s="36"/>
      <c r="G48" s="3"/>
    </row>
    <row r="49" spans="1:7" x14ac:dyDescent="0.25">
      <c r="A49" s="2"/>
      <c r="B49" s="9"/>
      <c r="C49" s="10" t="s">
        <v>18</v>
      </c>
      <c r="D49" s="17"/>
      <c r="E49" s="28">
        <f>SUM(E39:E48)</f>
        <v>4259000</v>
      </c>
      <c r="F49" s="23"/>
      <c r="G49" s="3"/>
    </row>
    <row r="50" spans="1:7" ht="30" x14ac:dyDescent="0.25">
      <c r="A50" s="2"/>
      <c r="B50" s="30" t="s">
        <v>25</v>
      </c>
      <c r="C50" s="10" t="s">
        <v>19</v>
      </c>
      <c r="D50" s="18"/>
      <c r="E50" s="19">
        <v>4897850</v>
      </c>
      <c r="F50" s="19">
        <v>19591400</v>
      </c>
      <c r="G50" s="3"/>
    </row>
    <row r="51" spans="1:7" ht="15.75" x14ac:dyDescent="0.25">
      <c r="A51" s="2"/>
      <c r="B51" s="2"/>
      <c r="C51" s="6" t="s">
        <v>14</v>
      </c>
      <c r="D51" s="20"/>
      <c r="E51" s="21"/>
      <c r="F51" s="21">
        <v>3526452</v>
      </c>
      <c r="G51" s="3"/>
    </row>
    <row r="52" spans="1:7" ht="15.75" x14ac:dyDescent="0.25">
      <c r="A52" s="2"/>
      <c r="B52" s="2"/>
      <c r="C52" s="6" t="s">
        <v>15</v>
      </c>
      <c r="D52" s="20"/>
      <c r="E52" s="21"/>
      <c r="F52" s="21">
        <v>23117852</v>
      </c>
      <c r="G52" s="3"/>
    </row>
  </sheetData>
  <mergeCells count="4">
    <mergeCell ref="D2:E2"/>
    <mergeCell ref="F4:F15"/>
    <mergeCell ref="F23:F31"/>
    <mergeCell ref="F39:F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2026-07-09T16:15:44Z</dcterms:modified>
</cp:coreProperties>
</file>