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96" yWindow="0" windowWidth="11712" windowHeight="13056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E49" i="1" l="1"/>
  <c r="E30" i="1"/>
  <c r="E14" i="1"/>
</calcChain>
</file>

<file path=xl/sharedStrings.xml><?xml version="1.0" encoding="utf-8"?>
<sst xmlns="http://schemas.openxmlformats.org/spreadsheetml/2006/main" count="100" uniqueCount="48">
  <si>
    <t>Quatation No</t>
  </si>
  <si>
    <t xml:space="preserve">Customer </t>
  </si>
  <si>
    <t xml:space="preserve">Date </t>
  </si>
  <si>
    <t>Components</t>
  </si>
  <si>
    <t>Model</t>
  </si>
  <si>
    <t xml:space="preserve">Unit Price 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</si>
  <si>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</si>
  <si>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</si>
  <si>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</si>
  <si>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</si>
  <si>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</si>
  <si>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</si>
  <si>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</si>
  <si>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</si>
  <si>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HDD</t>
  </si>
  <si>
    <t>power supply</t>
  </si>
  <si>
    <t>Raid Controlller</t>
  </si>
  <si>
    <t>Sub total</t>
  </si>
  <si>
    <t>GST -18%</t>
  </si>
  <si>
    <t>Total Price</t>
  </si>
  <si>
    <t xml:space="preserve">indicate changes if any </t>
  </si>
  <si>
    <t>AMD EPYC™ 9135 (16 Cores, Base Freq 3.65GHz, Max Freq 4.3 GHz, Cache 64 MB)</t>
  </si>
  <si>
    <t>J10</t>
  </si>
  <si>
    <t>MegaRaid 9364-8i</t>
  </si>
  <si>
    <t>TYAN S8050GM4NE-2T (SOC Chipset Motherboard with 8 x DIMMs Slots)</t>
  </si>
  <si>
    <t>STORAGE SERVER</t>
  </si>
  <si>
    <t>24TB SAS HDD</t>
  </si>
  <si>
    <t>MASTER NODE</t>
  </si>
  <si>
    <t>TIFR HYD</t>
  </si>
  <si>
    <t>J12</t>
  </si>
  <si>
    <t>480GB SATA SSD</t>
  </si>
  <si>
    <t>AMD EPYC™ 9124 (Cores-16, Base Freq 3GHz, Max Freq 3.7GHz, 64MB Cache)</t>
  </si>
  <si>
    <t xml:space="preserve">32GB DDR5 ECC </t>
  </si>
  <si>
    <t>400G RoCE</t>
  </si>
  <si>
    <t>1600W RPS</t>
  </si>
  <si>
    <t>Switch</t>
  </si>
  <si>
    <t>Compute Node</t>
  </si>
  <si>
    <t xml:space="preserve">64GB DDR5 ECC </t>
  </si>
  <si>
    <t>32GB DDR5 ECC</t>
  </si>
  <si>
    <t>MegaRAID 9560-16i SAS Controller</t>
  </si>
  <si>
    <t>AIC 4U 24-Bay RSC 4ET</t>
  </si>
  <si>
    <t>AIS 2U 8-Bay with 1200W RPS</t>
  </si>
  <si>
    <t>AIS 2UL01  with 800W</t>
  </si>
  <si>
    <t>480GB NVMe M.2 SSD</t>
  </si>
  <si>
    <t>AMD EPYC™ 9745 (Cores-128, Base Freq 2.4GHz, Max Freq 3.7GHz, 256MB Cache)</t>
  </si>
  <si>
    <t>900GB SAS HDD</t>
  </si>
  <si>
    <t>SWITCH</t>
  </si>
  <si>
    <t>With Margin(20%)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</si>
</sst>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Roboto"/>
    </font>
    <font>
      <sz val="9"/>
      <color rgb="FF000000"/>
      <name val="Roboto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vertical="top"/>
    </xf>
    <xf numFmtId="0" fontId="0" fillId="4" borderId="1" xfId="0" applyFill="1" applyBorder="1" applyAlignment="1">
      <alignment wrapText="1"/>
    </xf>
    <xf numFmtId="3" fontId="0" fillId="0" borderId="1" xfId="0" applyNumberFormat="1" applyBorder="1" applyAlignment="1">
      <alignment wrapText="1"/>
    </xf>
    <xf numFmtId="0" fontId="0" fillId="0" borderId="1" xfId="0" applyBorder="1"/>
    <xf numFmtId="3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 vertical="top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/>
    <xf numFmtId="0" fontId="0" fillId="0" borderId="0" xfId="0" applyBorder="1"/>
    <xf numFmtId="3" fontId="0" fillId="0" borderId="1" xfId="0" applyNumberFormat="1" applyBorder="1"/>
    <xf numFmtId="0" fontId="4" fillId="0" borderId="1" xfId="0" applyFont="1" applyBorder="1" applyAlignment="1">
      <alignment wrapText="1"/>
    </xf>
    <xf numFmtId="0" fontId="0" fillId="0" borderId="1" xfId="0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wrapText="1"/>
    </xf>
    <xf numFmtId="14" fontId="0" fillId="0" borderId="1" xfId="0" applyNumberForma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/>
    <xf numFmtId="0" fontId="0" fillId="0" borderId="0" xfId="0" applyFill="1"/>
    <xf numFmtId="1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0" fillId="4" borderId="1" xfId="0" applyFill="1" applyBorder="1" applyAlignment="1">
      <alignment horizontal="center" vertical="top" wrapText="1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 wrapText="1"/>
    </xf>
    <xf numFmtId="4" fontId="1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wrapText="1"/>
    </xf>
    <xf numFmtId="3" fontId="1" fillId="0" borderId="1" xfId="0" applyNumberFormat="1" applyFont="1" applyBorder="1" applyAlignment="1">
      <alignment horizontal="right"/>
    </xf>
    <xf numFmtId="1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tabSelected="1" topLeftCell="A49" zoomScale="115" zoomScaleNormal="115" workbookViewId="0">
      <selection activeCell="E60" sqref="E60"/>
    </sheetView>
  </sheetViews>
  <sheetFormatPr defaultRowHeight="14.4"/>
  <cols>
    <col min="1" max="1" width="14.21875" customWidth="1"/>
    <col min="2" max="2" width="53.6640625" customWidth="1"/>
    <col min="3" max="3" width="17" customWidth="1"/>
    <col min="4" max="4" width="8.21875" style="33" customWidth="1"/>
    <col min="5" max="5" width="16.6640625" customWidth="1"/>
    <col min="6" max="6" width="30.44140625" customWidth="1"/>
  </cols>
  <sheetData>
    <row r="1" spans="1:6">
      <c r="A1" s="7" t="s">
        <v>0</v>
      </c>
      <c r="B1" s="7"/>
      <c r="C1" s="2"/>
      <c r="D1" s="29"/>
      <c r="E1" s="2"/>
      <c r="F1" s="11"/>
    </row>
    <row r="2" spans="1:6">
      <c r="A2" s="1" t="s">
        <v>1</v>
      </c>
      <c r="B2" s="2" t="s">
        <v>28</v>
      </c>
      <c r="C2" s="3" t="s">
        <v>2</v>
      </c>
      <c r="D2" s="40">
        <v>46153</v>
      </c>
      <c r="E2" s="41"/>
      <c r="F2" s="11"/>
    </row>
    <row r="3" spans="1:6" s="27" customFormat="1">
      <c r="A3" s="22"/>
      <c r="B3" s="23"/>
      <c r="C3" s="21"/>
      <c r="D3" s="24"/>
      <c r="E3" s="25"/>
      <c r="F3" s="26"/>
    </row>
    <row r="4" spans="1:6">
      <c r="A4" s="22"/>
      <c r="B4" s="20" t="s">
        <v>27</v>
      </c>
      <c r="C4" s="21"/>
      <c r="D4" s="28"/>
      <c r="E4" s="13"/>
      <c r="F4" s="11"/>
    </row>
    <row r="5" spans="1:6">
      <c r="A5" s="4" t="s">
        <v>3</v>
      </c>
      <c r="B5" s="4" t="s">
        <v>4</v>
      </c>
      <c r="C5" s="4" t="s">
        <v>5</v>
      </c>
      <c r="D5" s="31" t="s">
        <v>6</v>
      </c>
      <c r="E5" s="4" t="s">
        <v>7</v>
      </c>
      <c r="F5" s="4" t="s">
        <v>20</v>
      </c>
    </row>
    <row r="6" spans="1:6">
      <c r="A6" s="2" t="s">
        <v>8</v>
      </c>
      <c r="B6" s="5" t="s">
        <v>41</v>
      </c>
      <c r="C6" s="10">
        <v>55000</v>
      </c>
      <c r="D6" s="29">
        <v>1</v>
      </c>
      <c r="E6" s="10">
        <v>55000</v>
      </c>
      <c r="F6" s="11"/>
    </row>
    <row r="7" spans="1:6" ht="28.8">
      <c r="A7" s="2" t="s">
        <v>9</v>
      </c>
      <c r="B7" s="2" t="s">
        <v>24</v>
      </c>
      <c r="C7" s="10">
        <v>88000</v>
      </c>
      <c r="D7" s="29">
        <v>1</v>
      </c>
      <c r="E7" s="10">
        <v>88000</v>
      </c>
      <c r="F7" s="11"/>
    </row>
    <row r="8" spans="1:6" ht="28.8">
      <c r="A8" s="16" t="s">
        <v>10</v>
      </c>
      <c r="B8" s="5" t="s">
        <v>21</v>
      </c>
      <c r="C8" s="12">
        <v>104400</v>
      </c>
      <c r="D8" s="29">
        <v>1</v>
      </c>
      <c r="E8" s="12">
        <v>104400</v>
      </c>
      <c r="F8" s="11"/>
    </row>
    <row r="9" spans="1:6">
      <c r="A9" s="2" t="s">
        <v>11</v>
      </c>
      <c r="B9" t="s">
        <v>22</v>
      </c>
      <c r="C9" s="10">
        <v>6500</v>
      </c>
      <c r="D9" s="29">
        <v>1</v>
      </c>
      <c r="E9" s="10">
        <v>6500</v>
      </c>
      <c r="F9" s="11"/>
    </row>
    <row r="10" spans="1:6">
      <c r="A10" s="2" t="s">
        <v>12</v>
      </c>
      <c r="B10" s="8" t="s">
        <v>38</v>
      </c>
      <c r="C10" s="10">
        <v>90000</v>
      </c>
      <c r="D10" s="29">
        <v>6</v>
      </c>
      <c r="E10" s="10">
        <v>540000</v>
      </c>
      <c r="F10" s="11"/>
    </row>
    <row r="11" spans="1:6">
      <c r="A11" s="2" t="s">
        <v>13</v>
      </c>
      <c r="B11" s="5" t="s">
        <v>30</v>
      </c>
      <c r="C11" s="10">
        <v>25000</v>
      </c>
      <c r="D11" s="29">
        <v>2</v>
      </c>
      <c r="E11" s="10">
        <v>50000</v>
      </c>
      <c r="F11" s="11"/>
    </row>
    <row r="12" spans="1:6">
      <c r="A12" s="2" t="s">
        <v>14</v>
      </c>
      <c r="B12" s="8" t="s">
        <v>45</v>
      </c>
      <c r="C12" s="10">
        <v>45000</v>
      </c>
      <c r="D12" s="29">
        <v>4</v>
      </c>
      <c r="E12" s="10">
        <v>180000</v>
      </c>
      <c r="F12" s="11"/>
    </row>
    <row r="13" spans="1:6">
      <c r="A13" s="2" t="s">
        <v>16</v>
      </c>
      <c r="B13" s="11" t="s">
        <v>23</v>
      </c>
      <c r="C13" s="19">
        <v>33300</v>
      </c>
      <c r="D13" s="14">
        <v>1</v>
      </c>
      <c r="E13" s="19">
        <v>33300</v>
      </c>
      <c r="F13" s="11"/>
    </row>
    <row r="14" spans="1:6">
      <c r="A14" s="2"/>
      <c r="B14" s="6"/>
      <c r="C14" s="4" t="s">
        <v>17</v>
      </c>
      <c r="D14" s="29"/>
      <c r="E14" s="34">
        <f>SUM(E6:E13)</f>
        <v>1057200</v>
      </c>
      <c r="F14" s="11"/>
    </row>
    <row r="15" spans="1:6" ht="15" customHeight="1">
      <c r="A15" s="2"/>
      <c r="B15" s="2"/>
      <c r="C15" s="9" t="s">
        <v>47</v>
      </c>
      <c r="D15" s="14"/>
      <c r="E15" s="35">
        <v>1268640</v>
      </c>
      <c r="F15" s="11"/>
    </row>
    <row r="16" spans="1:6">
      <c r="A16" s="2"/>
      <c r="B16" s="2"/>
      <c r="C16" s="4" t="s">
        <v>18</v>
      </c>
      <c r="D16" s="15"/>
      <c r="E16" s="37">
        <v>228355.20000000001</v>
      </c>
      <c r="F16" s="11"/>
    </row>
    <row r="17" spans="1:6">
      <c r="A17" s="2"/>
      <c r="B17" s="2"/>
      <c r="C17" s="4" t="s">
        <v>19</v>
      </c>
      <c r="D17" s="15"/>
      <c r="E17" s="37">
        <v>1496995.2</v>
      </c>
      <c r="F17" s="11"/>
    </row>
    <row r="18" spans="1:6">
      <c r="E18" s="34"/>
    </row>
    <row r="21" spans="1:6">
      <c r="A21" s="11"/>
      <c r="B21" s="17" t="s">
        <v>36</v>
      </c>
      <c r="C21" s="18"/>
      <c r="D21" s="32"/>
      <c r="E21" s="18"/>
      <c r="F21" s="18"/>
    </row>
    <row r="22" spans="1:6">
      <c r="A22" s="1" t="s">
        <v>1</v>
      </c>
      <c r="B22" s="2"/>
      <c r="C22" s="3" t="s">
        <v>2</v>
      </c>
      <c r="D22" s="40">
        <v>46153</v>
      </c>
      <c r="E22" s="41"/>
      <c r="F22" s="11"/>
    </row>
    <row r="23" spans="1:6">
      <c r="A23" s="4" t="s">
        <v>3</v>
      </c>
      <c r="B23" s="4" t="s">
        <v>4</v>
      </c>
      <c r="C23" s="4" t="s">
        <v>5</v>
      </c>
      <c r="D23" s="31" t="s">
        <v>6</v>
      </c>
      <c r="E23" s="4" t="s">
        <v>7</v>
      </c>
      <c r="F23" s="4" t="s">
        <v>20</v>
      </c>
    </row>
    <row r="24" spans="1:6">
      <c r="A24" s="2" t="s">
        <v>8</v>
      </c>
      <c r="B24" s="5" t="s">
        <v>42</v>
      </c>
      <c r="C24" s="10">
        <v>37500</v>
      </c>
      <c r="D24" s="29">
        <v>1</v>
      </c>
      <c r="E24" s="10">
        <v>37500</v>
      </c>
      <c r="F24" s="11"/>
    </row>
    <row r="25" spans="1:6" ht="28.8">
      <c r="A25" s="2" t="s">
        <v>9</v>
      </c>
      <c r="B25" s="2" t="s">
        <v>24</v>
      </c>
      <c r="C25" s="10">
        <v>88000</v>
      </c>
      <c r="D25" s="29">
        <v>1</v>
      </c>
      <c r="E25" s="10">
        <v>88000</v>
      </c>
      <c r="F25" s="11"/>
    </row>
    <row r="26" spans="1:6" ht="27.6">
      <c r="A26" s="16" t="s">
        <v>10</v>
      </c>
      <c r="B26" s="38" t="s">
        <v>44</v>
      </c>
      <c r="C26" s="12">
        <v>370000</v>
      </c>
      <c r="D26" s="29">
        <v>1</v>
      </c>
      <c r="E26" s="12">
        <v>370000</v>
      </c>
      <c r="F26" s="11"/>
    </row>
    <row r="27" spans="1:6">
      <c r="A27" s="2" t="s">
        <v>11</v>
      </c>
      <c r="B27" s="11" t="s">
        <v>22</v>
      </c>
      <c r="C27" s="10">
        <v>6500</v>
      </c>
      <c r="D27" s="29">
        <v>1</v>
      </c>
      <c r="E27" s="10">
        <v>6500</v>
      </c>
      <c r="F27" s="11"/>
    </row>
    <row r="28" spans="1:6">
      <c r="A28" s="2" t="s">
        <v>12</v>
      </c>
      <c r="B28" s="8" t="s">
        <v>37</v>
      </c>
      <c r="C28" s="10">
        <v>180000</v>
      </c>
      <c r="D28" s="29">
        <v>6</v>
      </c>
      <c r="E28" s="12">
        <v>1080000</v>
      </c>
      <c r="F28" s="11"/>
    </row>
    <row r="29" spans="1:6">
      <c r="A29" s="2" t="s">
        <v>13</v>
      </c>
      <c r="B29" s="5" t="s">
        <v>43</v>
      </c>
      <c r="C29" s="10">
        <v>45000</v>
      </c>
      <c r="D29" s="29">
        <v>1</v>
      </c>
      <c r="E29" s="10">
        <v>45000</v>
      </c>
      <c r="F29" s="11"/>
    </row>
    <row r="30" spans="1:6">
      <c r="A30" s="2"/>
      <c r="B30" s="6"/>
      <c r="C30" s="4" t="s">
        <v>17</v>
      </c>
      <c r="D30" s="29"/>
      <c r="E30" s="10">
        <f>SUM(E24:E29)</f>
        <v>1627000</v>
      </c>
      <c r="F30" s="11"/>
    </row>
    <row r="31" spans="1:6">
      <c r="A31" s="2"/>
      <c r="B31" s="2"/>
      <c r="C31" s="9" t="s">
        <v>47</v>
      </c>
      <c r="D31" s="14"/>
      <c r="E31" s="35">
        <v>1952400</v>
      </c>
      <c r="F31" s="11"/>
    </row>
    <row r="32" spans="1:6">
      <c r="A32" s="2"/>
      <c r="B32" s="2"/>
      <c r="C32" s="4" t="s">
        <v>18</v>
      </c>
      <c r="D32" s="15"/>
      <c r="E32" s="37">
        <v>351432</v>
      </c>
      <c r="F32" s="11"/>
    </row>
    <row r="33" spans="1:6">
      <c r="A33" s="2"/>
      <c r="B33" s="2"/>
      <c r="C33" s="4" t="s">
        <v>19</v>
      </c>
      <c r="D33" s="15"/>
      <c r="E33" s="37">
        <v>2303832</v>
      </c>
      <c r="F33" s="11"/>
    </row>
    <row r="37" spans="1:6">
      <c r="A37" s="11"/>
      <c r="B37" s="17" t="s">
        <v>25</v>
      </c>
      <c r="C37" s="11"/>
      <c r="D37" s="14"/>
      <c r="E37" s="11"/>
      <c r="F37" s="11"/>
    </row>
    <row r="38" spans="1:6">
      <c r="A38" s="1" t="s">
        <v>1</v>
      </c>
      <c r="B38" s="2"/>
      <c r="C38" s="3" t="s">
        <v>2</v>
      </c>
      <c r="D38" s="40">
        <v>46153</v>
      </c>
      <c r="E38" s="41"/>
      <c r="F38" s="11"/>
    </row>
    <row r="39" spans="1:6">
      <c r="A39" s="4" t="s">
        <v>3</v>
      </c>
      <c r="B39" s="4" t="s">
        <v>4</v>
      </c>
      <c r="C39" s="4" t="s">
        <v>5</v>
      </c>
      <c r="D39" s="31" t="s">
        <v>6</v>
      </c>
      <c r="E39" s="4" t="s">
        <v>7</v>
      </c>
      <c r="F39" s="4" t="s">
        <v>20</v>
      </c>
    </row>
    <row r="40" spans="1:6">
      <c r="A40" s="2" t="s">
        <v>8</v>
      </c>
      <c r="B40" s="5" t="s">
        <v>40</v>
      </c>
      <c r="C40" s="10">
        <v>130500</v>
      </c>
      <c r="D40" s="29">
        <v>1</v>
      </c>
      <c r="E40" s="10">
        <v>130500</v>
      </c>
      <c r="F40" s="11"/>
    </row>
    <row r="41" spans="1:6" ht="28.8">
      <c r="A41" s="16" t="s">
        <v>9</v>
      </c>
      <c r="B41" s="2" t="s">
        <v>24</v>
      </c>
      <c r="C41" s="10">
        <v>88000</v>
      </c>
      <c r="D41" s="29">
        <v>1</v>
      </c>
      <c r="E41" s="10">
        <v>88000</v>
      </c>
      <c r="F41" s="11"/>
    </row>
    <row r="42" spans="1:6" ht="28.8">
      <c r="A42" s="16" t="s">
        <v>10</v>
      </c>
      <c r="B42" s="30" t="s">
        <v>31</v>
      </c>
      <c r="C42" s="12">
        <v>57500</v>
      </c>
      <c r="D42" s="29">
        <v>1</v>
      </c>
      <c r="E42" s="12">
        <v>57500</v>
      </c>
      <c r="F42" s="11"/>
    </row>
    <row r="43" spans="1:6">
      <c r="A43" s="2" t="s">
        <v>11</v>
      </c>
      <c r="B43" s="11" t="s">
        <v>29</v>
      </c>
      <c r="C43" s="10">
        <v>7500</v>
      </c>
      <c r="D43" s="29">
        <v>1</v>
      </c>
      <c r="E43" s="10">
        <v>7500</v>
      </c>
      <c r="F43" s="11"/>
    </row>
    <row r="44" spans="1:6">
      <c r="A44" s="2" t="s">
        <v>12</v>
      </c>
      <c r="B44" s="8" t="s">
        <v>32</v>
      </c>
      <c r="C44" s="10">
        <v>90000</v>
      </c>
      <c r="D44" s="29">
        <v>2</v>
      </c>
      <c r="E44" s="12">
        <v>180000</v>
      </c>
      <c r="F44" s="11"/>
    </row>
    <row r="45" spans="1:6">
      <c r="A45" s="2" t="s">
        <v>13</v>
      </c>
      <c r="B45" s="8" t="s">
        <v>30</v>
      </c>
      <c r="C45" s="10">
        <v>25000</v>
      </c>
      <c r="D45" s="29">
        <v>2</v>
      </c>
      <c r="E45" s="12">
        <v>50000</v>
      </c>
      <c r="F45" s="11"/>
    </row>
    <row r="46" spans="1:6">
      <c r="A46" s="2" t="s">
        <v>14</v>
      </c>
      <c r="B46" s="5" t="s">
        <v>26</v>
      </c>
      <c r="C46" s="10">
        <v>90000</v>
      </c>
      <c r="D46" s="29">
        <v>22</v>
      </c>
      <c r="E46" s="10">
        <v>1980000</v>
      </c>
      <c r="F46" s="11"/>
    </row>
    <row r="47" spans="1:6">
      <c r="A47" s="2" t="s">
        <v>15</v>
      </c>
      <c r="B47" s="5" t="s">
        <v>34</v>
      </c>
      <c r="C47" s="10">
        <v>55000</v>
      </c>
      <c r="D47" s="29">
        <v>1</v>
      </c>
      <c r="E47" s="10">
        <v>55000</v>
      </c>
      <c r="F47" s="11"/>
    </row>
    <row r="48" spans="1:6">
      <c r="A48" s="2" t="s">
        <v>16</v>
      </c>
      <c r="B48" t="s">
        <v>39</v>
      </c>
      <c r="C48" s="19">
        <v>190000</v>
      </c>
      <c r="D48" s="14">
        <v>1</v>
      </c>
      <c r="E48" s="19">
        <v>190000</v>
      </c>
      <c r="F48" s="11"/>
    </row>
    <row r="49" spans="1:6">
      <c r="A49" s="2"/>
      <c r="B49" s="6"/>
      <c r="C49" s="4" t="s">
        <v>17</v>
      </c>
      <c r="D49" s="29"/>
      <c r="E49" s="19">
        <f>SUM(E40:E48)</f>
        <v>2738500</v>
      </c>
      <c r="F49" s="11"/>
    </row>
    <row r="50" spans="1:6">
      <c r="A50" s="2"/>
      <c r="B50" s="2"/>
      <c r="C50" s="9" t="s">
        <v>47</v>
      </c>
      <c r="D50" s="14"/>
      <c r="E50" s="35">
        <v>3286200</v>
      </c>
      <c r="F50" s="11"/>
    </row>
    <row r="51" spans="1:6">
      <c r="A51" s="2"/>
      <c r="B51" s="2"/>
      <c r="C51" s="4" t="s">
        <v>18</v>
      </c>
      <c r="D51" s="15"/>
      <c r="E51" s="37">
        <v>591516</v>
      </c>
      <c r="F51" s="11"/>
    </row>
    <row r="52" spans="1:6">
      <c r="A52" s="2"/>
      <c r="B52" s="2"/>
      <c r="C52" s="4" t="s">
        <v>19</v>
      </c>
      <c r="D52" s="15"/>
      <c r="E52" s="37">
        <v>3877716</v>
      </c>
      <c r="F52" s="11"/>
    </row>
    <row r="54" spans="1:6">
      <c r="B54" s="17" t="s">
        <v>46</v>
      </c>
    </row>
    <row r="55" spans="1:6">
      <c r="A55" s="4" t="s">
        <v>3</v>
      </c>
      <c r="B55" s="4" t="s">
        <v>4</v>
      </c>
      <c r="C55" s="4" t="s">
        <v>5</v>
      </c>
      <c r="D55" s="31" t="s">
        <v>6</v>
      </c>
      <c r="E55" s="4" t="s">
        <v>7</v>
      </c>
      <c r="F55" s="4" t="s">
        <v>20</v>
      </c>
    </row>
    <row r="56" spans="1:6">
      <c r="A56" s="2" t="s">
        <v>35</v>
      </c>
      <c r="B56" s="5" t="s">
        <v>33</v>
      </c>
      <c r="C56" s="10">
        <v>2600000</v>
      </c>
      <c r="D56" s="29">
        <v>1</v>
      </c>
      <c r="E56" s="10">
        <v>2600000</v>
      </c>
      <c r="F56" s="11"/>
    </row>
    <row r="57" spans="1:6">
      <c r="A57" s="2"/>
      <c r="B57" s="6"/>
      <c r="C57" s="4" t="s">
        <v>17</v>
      </c>
      <c r="D57" s="36"/>
      <c r="E57" s="19">
        <v>2600000</v>
      </c>
      <c r="F57" s="11"/>
    </row>
    <row r="58" spans="1:6">
      <c r="A58" s="2"/>
      <c r="B58" s="2"/>
      <c r="C58" s="9" t="s">
        <v>47</v>
      </c>
      <c r="D58" s="14"/>
      <c r="E58" s="35">
        <v>3120000</v>
      </c>
      <c r="F58" s="11"/>
    </row>
    <row r="59" spans="1:6">
      <c r="A59" s="2"/>
      <c r="B59" s="2"/>
      <c r="C59" s="4" t="s">
        <v>18</v>
      </c>
      <c r="D59" s="15"/>
      <c r="E59" s="39">
        <v>561600</v>
      </c>
      <c r="F59" s="11"/>
    </row>
    <row r="60" spans="1:6">
      <c r="A60" s="2"/>
      <c r="B60" s="2"/>
      <c r="C60" s="4" t="s">
        <v>19</v>
      </c>
      <c r="D60" s="15"/>
      <c r="E60" s="37">
        <v>3681600</v>
      </c>
      <c r="F60" s="11"/>
    </row>
  </sheetData>
  <mergeCells count="3">
    <mergeCell ref="D2:E2"/>
    <mergeCell ref="D22:E22"/>
    <mergeCell ref="D38:E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yaswa</cp:lastModifiedBy>
  <dcterms:created xsi:type="dcterms:W3CDTF">2026-02-26T06:16:45Z</dcterms:created>
  <dcterms:modified xsi:type="dcterms:W3CDTF">2026-05-14T13:19:41Z</dcterms:modified>
</cp:coreProperties>
</file>