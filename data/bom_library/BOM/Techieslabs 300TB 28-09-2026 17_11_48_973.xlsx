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6465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  <c r="F38" i="1"/>
  <c r="F37" i="1"/>
  <c r="F35" i="1" l="1"/>
  <c r="F36" i="1" l="1"/>
  <c r="E35" i="1"/>
  <c r="E36" i="1" l="1"/>
  <c r="E37" i="1" s="1"/>
  <c r="E15" i="1"/>
  <c r="E38" i="1" l="1"/>
  <c r="E39" i="1" s="1"/>
  <c r="E16" i="1"/>
  <c r="E17" i="1" s="1"/>
  <c r="E18" i="1" l="1"/>
  <c r="E19" i="1" s="1"/>
</calcChain>
</file>

<file path=xl/sharedStrings.xml><?xml version="1.0" encoding="utf-8"?>
<sst xmlns="http://schemas.openxmlformats.org/spreadsheetml/2006/main" count="66" uniqueCount="44">
  <si>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</si>
  <si>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</si>
  <si>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</si>
  <si>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</si>
  <si>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</si>
  <si>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</si>
  <si>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</si>
  <si>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</si>
  <si>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</si>
  <si>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</si>
  <si>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</si>
  <si>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</si>
  <si>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</si>
  <si>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GST -18%</t>
  </si>
  <si>
    <t>Total Price</t>
  </si>
  <si>
    <t>Unit Prize</t>
  </si>
  <si>
    <t>Sub Total</t>
  </si>
  <si>
    <t>Margin-15%</t>
  </si>
  <si>
    <t>From</t>
  </si>
  <si>
    <t>Intel® Xeon® Gold 6530 Processor (32-Cores, Base Freq 2.10GHz, Max Freq 4.00GHz, Cache 160MB)</t>
  </si>
  <si>
    <t xml:space="preserve">64GB DDR5 4800MHz </t>
  </si>
  <si>
    <t xml:space="preserve">960GB SATA SSD </t>
  </si>
  <si>
    <t>24TB HDD</t>
  </si>
  <si>
    <t xml:space="preserve">Megaraid 9560-16i </t>
  </si>
  <si>
    <t>raid cable</t>
  </si>
  <si>
    <t xml:space="preserve"> 1392TB Expandable  336TB Usable</t>
  </si>
  <si>
    <t>Techieslabs</t>
  </si>
  <si>
    <t>3U 16bay gooxi</t>
  </si>
  <si>
    <t>Raid</t>
  </si>
  <si>
    <t xml:space="preserve">Power Supply </t>
  </si>
  <si>
    <t>1200W</t>
  </si>
  <si>
    <t>MS73-HB2  Intel® C741 Chipset</t>
  </si>
  <si>
    <t>Quad port 25Gb/s</t>
  </si>
  <si>
    <t xml:space="preserve">480GB SATA SSD </t>
  </si>
  <si>
    <t xml:space="preserve"> ( RAW Space 240 TB Usable Space 192 TB ) 2 common spare drive also include </t>
  </si>
  <si>
    <t>1600W</t>
  </si>
  <si>
    <t>Vetri Media</t>
  </si>
  <si>
    <t xml:space="preserve">128GB </t>
  </si>
  <si>
    <t>16core</t>
  </si>
  <si>
    <t>J12</t>
  </si>
  <si>
    <t>AMD EPYC™ 9124 (Cores-16, Base Freq 3.00GHz, Max Freq 3.70GHz, Cache 64MB)</t>
  </si>
  <si>
    <t>4U 24-Bay Rack Mountable Chassis  AIC RSC-4ET</t>
  </si>
  <si>
    <t>20TB NL SAS</t>
  </si>
  <si>
    <t>MZ33-AR1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</si>
</sst>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8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right"/>
    </xf>
    <xf numFmtId="9" fontId="4" fillId="4" borderId="1" xfId="0" applyNumberFormat="1" applyFont="1" applyFill="1" applyBorder="1" applyAlignment="1">
      <alignment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6" borderId="0" xfId="0" applyFill="1"/>
    <xf numFmtId="4" fontId="0" fillId="0" borderId="0" xfId="0" applyNumberFormat="1"/>
    <xf numFmtId="3" fontId="4" fillId="0" borderId="2" xfId="0" applyNumberFormat="1" applyFont="1" applyBorder="1" applyAlignment="1">
      <alignment horizontal="right" wrapText="1"/>
    </xf>
    <xf numFmtId="3" fontId="4" fillId="0" borderId="1" xfId="0" applyNumberFormat="1" applyFont="1" applyFill="1" applyBorder="1" applyAlignment="1">
      <alignment horizontal="right" wrapText="1"/>
    </xf>
    <xf numFmtId="4" fontId="9" fillId="0" borderId="1" xfId="0" applyNumberFormat="1" applyFont="1" applyBorder="1"/>
    <xf numFmtId="0" fontId="10" fillId="0" borderId="0" xfId="0" applyFont="1" applyAlignment="1">
      <alignment vertical="center" wrapText="1"/>
    </xf>
    <xf numFmtId="14" fontId="2" fillId="0" borderId="2" xfId="0" applyNumberFormat="1" applyFont="1" applyBorder="1" applyAlignment="1">
      <alignment horizontal="center" wrapText="1"/>
    </xf>
    <xf numFmtId="14" fontId="2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3" zoomScale="90" zoomScaleNormal="115" workbookViewId="0">
      <selection activeCell="J30" sqref="J3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.7109375" customWidth="1"/>
    <col min="7" max="7" width="16.5703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ht="15.75" x14ac:dyDescent="0.25">
      <c r="A2" s="4" t="s">
        <v>1</v>
      </c>
      <c r="B2" s="29" t="s">
        <v>26</v>
      </c>
      <c r="C2" s="5" t="s">
        <v>2</v>
      </c>
      <c r="D2" s="38"/>
      <c r="E2" s="3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15</v>
      </c>
      <c r="E3" s="6" t="s">
        <v>6</v>
      </c>
      <c r="F3" s="6" t="s">
        <v>18</v>
      </c>
    </row>
    <row r="4" spans="1:6" ht="15.75" x14ac:dyDescent="0.25">
      <c r="A4" s="7" t="s">
        <v>7</v>
      </c>
      <c r="B4" s="8" t="s">
        <v>27</v>
      </c>
      <c r="C4" s="9">
        <v>1</v>
      </c>
      <c r="D4" s="10">
        <v>80000</v>
      </c>
      <c r="E4" s="11">
        <v>80000</v>
      </c>
      <c r="F4" s="3"/>
    </row>
    <row r="5" spans="1:6" ht="15.75" x14ac:dyDescent="0.25">
      <c r="A5" s="7" t="s">
        <v>8</v>
      </c>
      <c r="B5" s="12" t="s">
        <v>31</v>
      </c>
      <c r="C5" s="9">
        <v>1</v>
      </c>
      <c r="D5" s="10">
        <v>99000</v>
      </c>
      <c r="E5" s="11">
        <v>100000</v>
      </c>
      <c r="F5" s="3"/>
    </row>
    <row r="6" spans="1:6" ht="30" x14ac:dyDescent="0.25">
      <c r="A6" s="7" t="s">
        <v>9</v>
      </c>
      <c r="B6" s="13" t="s">
        <v>19</v>
      </c>
      <c r="C6" s="9">
        <v>2</v>
      </c>
      <c r="D6" s="10">
        <v>185000</v>
      </c>
      <c r="E6" s="11">
        <v>390000</v>
      </c>
      <c r="F6" s="3"/>
    </row>
    <row r="7" spans="1:6" ht="15.75" x14ac:dyDescent="0.25">
      <c r="A7" s="7" t="s">
        <v>10</v>
      </c>
      <c r="B7" s="14" t="s">
        <v>20</v>
      </c>
      <c r="C7" s="9">
        <v>4</v>
      </c>
      <c r="D7" s="10">
        <v>210000</v>
      </c>
      <c r="E7" s="11">
        <v>880000</v>
      </c>
      <c r="F7" s="3"/>
    </row>
    <row r="8" spans="1:6" ht="15.75" x14ac:dyDescent="0.25">
      <c r="A8" s="7" t="s">
        <v>11</v>
      </c>
      <c r="B8" s="13" t="s">
        <v>21</v>
      </c>
      <c r="C8" s="9">
        <v>2</v>
      </c>
      <c r="D8" s="10">
        <v>50000</v>
      </c>
      <c r="E8" s="11">
        <v>100000</v>
      </c>
      <c r="F8" s="3"/>
    </row>
    <row r="9" spans="1:6" ht="15.75" x14ac:dyDescent="0.25">
      <c r="A9" s="7" t="s">
        <v>12</v>
      </c>
      <c r="B9" s="14" t="s">
        <v>22</v>
      </c>
      <c r="C9" s="9">
        <v>16</v>
      </c>
      <c r="D9" s="10">
        <v>95000</v>
      </c>
      <c r="E9" s="11">
        <v>1520000</v>
      </c>
      <c r="F9" s="3"/>
    </row>
    <row r="10" spans="1:6" ht="15.75" x14ac:dyDescent="0.25">
      <c r="A10" s="7" t="s">
        <v>28</v>
      </c>
      <c r="B10" s="3" t="s">
        <v>23</v>
      </c>
      <c r="C10" s="9">
        <v>1</v>
      </c>
      <c r="D10" s="10">
        <v>200000</v>
      </c>
      <c r="E10" s="15">
        <v>200000</v>
      </c>
      <c r="F10" s="3"/>
    </row>
    <row r="11" spans="1:6" ht="15.75" x14ac:dyDescent="0.25">
      <c r="A11" s="7"/>
      <c r="B11" s="3" t="s">
        <v>24</v>
      </c>
      <c r="C11" s="9">
        <v>1</v>
      </c>
      <c r="D11" s="16">
        <v>5000</v>
      </c>
      <c r="E11" s="15">
        <v>5000</v>
      </c>
      <c r="F11" s="3"/>
    </row>
    <row r="12" spans="1:6" ht="15.75" x14ac:dyDescent="0.25">
      <c r="A12" s="7"/>
      <c r="B12" s="3" t="s">
        <v>32</v>
      </c>
      <c r="C12" s="9">
        <v>1</v>
      </c>
      <c r="D12" s="16">
        <v>30000</v>
      </c>
      <c r="E12" s="15">
        <v>40000</v>
      </c>
      <c r="F12" s="3"/>
    </row>
    <row r="13" spans="1:6" ht="15.75" x14ac:dyDescent="0.25">
      <c r="A13" s="7" t="s">
        <v>29</v>
      </c>
      <c r="B13" s="3" t="s">
        <v>30</v>
      </c>
      <c r="C13" s="9">
        <v>1</v>
      </c>
      <c r="D13" s="16">
        <v>40000</v>
      </c>
      <c r="E13" s="15">
        <v>40000</v>
      </c>
      <c r="F13" s="3"/>
    </row>
    <row r="14" spans="1:6" ht="20.25" customHeight="1" x14ac:dyDescent="0.25">
      <c r="A14" s="7"/>
      <c r="B14" s="30" t="s">
        <v>25</v>
      </c>
      <c r="C14" s="9"/>
      <c r="D14" s="10"/>
      <c r="E14" s="17"/>
      <c r="F14" s="18"/>
    </row>
    <row r="15" spans="1:6" ht="16.149999999999999" customHeight="1" x14ac:dyDescent="0.25">
      <c r="A15" s="7"/>
      <c r="B15" s="19"/>
      <c r="C15" s="20" t="s">
        <v>16</v>
      </c>
      <c r="D15" s="21"/>
      <c r="E15" s="22">
        <f>SUM(E4:E14)</f>
        <v>3355000</v>
      </c>
      <c r="F15" s="18"/>
    </row>
    <row r="16" spans="1:6" ht="16.149999999999999" customHeight="1" x14ac:dyDescent="0.25">
      <c r="A16" s="7"/>
      <c r="B16" s="19"/>
      <c r="C16" s="23">
        <v>0.15</v>
      </c>
      <c r="D16" s="21"/>
      <c r="E16" s="24">
        <f>E15*15%</f>
        <v>503250</v>
      </c>
      <c r="F16" s="18"/>
    </row>
    <row r="17" spans="1:7" ht="18" customHeight="1" x14ac:dyDescent="0.25">
      <c r="A17" s="7"/>
      <c r="B17" s="7"/>
      <c r="C17" s="20" t="s">
        <v>17</v>
      </c>
      <c r="D17" s="25"/>
      <c r="E17" s="22">
        <f>SUM(E15:E16)</f>
        <v>3858250</v>
      </c>
      <c r="F17" s="18"/>
    </row>
    <row r="18" spans="1:7" ht="15.75" x14ac:dyDescent="0.25">
      <c r="A18" s="7"/>
      <c r="B18" s="7"/>
      <c r="C18" s="26" t="s">
        <v>13</v>
      </c>
      <c r="D18" s="27"/>
      <c r="E18" s="28">
        <f>E17*18%</f>
        <v>694485</v>
      </c>
      <c r="F18" s="18"/>
    </row>
    <row r="19" spans="1:7" ht="15.75" x14ac:dyDescent="0.25">
      <c r="A19" s="7"/>
      <c r="B19" s="7"/>
      <c r="C19" s="26" t="s">
        <v>14</v>
      </c>
      <c r="D19" s="27"/>
      <c r="E19" s="28">
        <f>SUM(E17:E18)</f>
        <v>4552735</v>
      </c>
      <c r="F19" s="18"/>
    </row>
    <row r="21" spans="1:7" x14ac:dyDescent="0.25">
      <c r="A21" s="32"/>
      <c r="B21" s="32" t="s">
        <v>36</v>
      </c>
      <c r="C21" s="32"/>
      <c r="D21" s="32"/>
      <c r="E21" s="32"/>
    </row>
    <row r="22" spans="1:7" x14ac:dyDescent="0.25">
      <c r="A22" s="6" t="s">
        <v>3</v>
      </c>
      <c r="B22" s="6" t="s">
        <v>4</v>
      </c>
      <c r="C22" s="6" t="s">
        <v>5</v>
      </c>
      <c r="D22" s="6" t="s">
        <v>15</v>
      </c>
      <c r="E22" s="6" t="s">
        <v>6</v>
      </c>
    </row>
    <row r="23" spans="1:7" ht="15.75" x14ac:dyDescent="0.25">
      <c r="A23" s="7" t="s">
        <v>7</v>
      </c>
      <c r="B23" s="8" t="s">
        <v>41</v>
      </c>
      <c r="C23" s="9">
        <v>1</v>
      </c>
      <c r="D23" s="10">
        <v>130000</v>
      </c>
      <c r="E23" s="11">
        <v>130000</v>
      </c>
      <c r="F23" s="17">
        <v>130000</v>
      </c>
    </row>
    <row r="24" spans="1:7" ht="15.75" x14ac:dyDescent="0.25">
      <c r="A24" s="7" t="s">
        <v>8</v>
      </c>
      <c r="B24" s="37" t="s">
        <v>43</v>
      </c>
      <c r="C24" s="9">
        <v>1</v>
      </c>
      <c r="D24" s="10">
        <v>92000</v>
      </c>
      <c r="E24" s="11">
        <v>92000</v>
      </c>
      <c r="F24" s="17">
        <v>93000</v>
      </c>
    </row>
    <row r="25" spans="1:7" ht="30" x14ac:dyDescent="0.25">
      <c r="A25" s="7" t="s">
        <v>9</v>
      </c>
      <c r="B25" s="13" t="s">
        <v>40</v>
      </c>
      <c r="C25" s="9">
        <v>1</v>
      </c>
      <c r="D25" s="10">
        <v>60300</v>
      </c>
      <c r="E25" s="11">
        <v>60500</v>
      </c>
      <c r="F25" s="17">
        <v>60500</v>
      </c>
      <c r="G25" t="s">
        <v>38</v>
      </c>
    </row>
    <row r="26" spans="1:7" ht="15.75" x14ac:dyDescent="0.25">
      <c r="A26" s="7"/>
      <c r="B26" s="13" t="s">
        <v>39</v>
      </c>
      <c r="C26" s="9">
        <v>1</v>
      </c>
      <c r="D26" s="10">
        <v>7500</v>
      </c>
      <c r="E26" s="11">
        <v>7500</v>
      </c>
      <c r="F26" s="17">
        <v>7500</v>
      </c>
    </row>
    <row r="27" spans="1:7" ht="15.75" x14ac:dyDescent="0.25">
      <c r="A27" s="7" t="s">
        <v>10</v>
      </c>
      <c r="B27" s="14" t="s">
        <v>20</v>
      </c>
      <c r="C27" s="9">
        <v>2</v>
      </c>
      <c r="D27" s="10">
        <v>210000</v>
      </c>
      <c r="E27" s="11">
        <v>420000</v>
      </c>
      <c r="F27" s="17">
        <v>420000</v>
      </c>
      <c r="G27" t="s">
        <v>37</v>
      </c>
    </row>
    <row r="28" spans="1:7" ht="15.75" x14ac:dyDescent="0.25">
      <c r="A28" s="7" t="s">
        <v>11</v>
      </c>
      <c r="B28" s="13" t="s">
        <v>33</v>
      </c>
      <c r="C28" s="9">
        <v>2</v>
      </c>
      <c r="D28" s="10">
        <v>30600</v>
      </c>
      <c r="E28" s="11">
        <v>62000</v>
      </c>
      <c r="F28" s="17">
        <v>61500</v>
      </c>
    </row>
    <row r="29" spans="1:7" ht="15.75" x14ac:dyDescent="0.25">
      <c r="A29" s="7" t="s">
        <v>12</v>
      </c>
      <c r="B29" s="14" t="s">
        <v>22</v>
      </c>
      <c r="C29" s="9">
        <v>10</v>
      </c>
      <c r="D29" s="10">
        <v>95000</v>
      </c>
      <c r="E29" s="11">
        <v>950000</v>
      </c>
      <c r="F29" s="17">
        <v>954000</v>
      </c>
      <c r="G29" t="s">
        <v>42</v>
      </c>
    </row>
    <row r="30" spans="1:7" ht="15.75" x14ac:dyDescent="0.25">
      <c r="A30" s="7" t="s">
        <v>28</v>
      </c>
      <c r="B30" s="3" t="s">
        <v>23</v>
      </c>
      <c r="C30" s="9">
        <v>1</v>
      </c>
      <c r="D30" s="10">
        <v>200000</v>
      </c>
      <c r="E30" s="15">
        <v>200000</v>
      </c>
      <c r="F30" s="17">
        <v>75000</v>
      </c>
    </row>
    <row r="31" spans="1:7" ht="15.75" x14ac:dyDescent="0.25">
      <c r="A31" s="7"/>
      <c r="B31" s="3" t="s">
        <v>24</v>
      </c>
      <c r="C31" s="9">
        <v>1</v>
      </c>
      <c r="D31" s="16">
        <v>5000</v>
      </c>
      <c r="E31" s="15">
        <v>5000</v>
      </c>
      <c r="F31" s="17">
        <v>5000</v>
      </c>
    </row>
    <row r="32" spans="1:7" ht="15.75" x14ac:dyDescent="0.25">
      <c r="A32" s="7"/>
      <c r="B32" s="3" t="s">
        <v>32</v>
      </c>
      <c r="C32" s="9">
        <v>1</v>
      </c>
      <c r="D32" s="16">
        <v>30000</v>
      </c>
      <c r="E32" s="15">
        <v>40000</v>
      </c>
      <c r="F32" s="17">
        <v>10000</v>
      </c>
    </row>
    <row r="33" spans="1:6" ht="15.75" x14ac:dyDescent="0.25">
      <c r="A33" s="7" t="s">
        <v>29</v>
      </c>
      <c r="B33" s="3" t="s">
        <v>35</v>
      </c>
      <c r="C33" s="9">
        <v>1</v>
      </c>
      <c r="D33" s="16">
        <v>0</v>
      </c>
      <c r="E33" s="15">
        <v>13000</v>
      </c>
      <c r="F33" s="17">
        <v>0</v>
      </c>
    </row>
    <row r="34" spans="1:6" ht="22.5" x14ac:dyDescent="0.25">
      <c r="A34" s="7"/>
      <c r="B34" s="31" t="s">
        <v>34</v>
      </c>
      <c r="C34" s="9"/>
      <c r="D34" s="10"/>
      <c r="E34" s="34"/>
      <c r="F34" s="35"/>
    </row>
    <row r="35" spans="1:6" ht="15.75" x14ac:dyDescent="0.25">
      <c r="A35" s="7"/>
      <c r="B35" s="19"/>
      <c r="C35" s="20" t="s">
        <v>16</v>
      </c>
      <c r="D35" s="21"/>
      <c r="E35" s="22">
        <f>SUM(E23:E34)</f>
        <v>1980000</v>
      </c>
      <c r="F35" s="36">
        <f>SUM(F23:F34)</f>
        <v>1816500</v>
      </c>
    </row>
    <row r="36" spans="1:6" ht="15.75" x14ac:dyDescent="0.25">
      <c r="A36" s="7"/>
      <c r="B36" s="19"/>
      <c r="C36" s="23">
        <v>0.15</v>
      </c>
      <c r="D36" s="21"/>
      <c r="E36" s="22">
        <f>E35*15%</f>
        <v>297000</v>
      </c>
      <c r="F36" s="22">
        <f>F35*15%</f>
        <v>272475</v>
      </c>
    </row>
    <row r="37" spans="1:6" ht="15.75" x14ac:dyDescent="0.25">
      <c r="A37" s="7"/>
      <c r="B37" s="7"/>
      <c r="C37" s="20" t="s">
        <v>17</v>
      </c>
      <c r="D37" s="25"/>
      <c r="E37" s="22">
        <f>SUM(E35:E36)</f>
        <v>2277000</v>
      </c>
      <c r="F37" s="22">
        <f>SUM(F35:F36)</f>
        <v>2088975</v>
      </c>
    </row>
    <row r="38" spans="1:6" ht="15.75" x14ac:dyDescent="0.25">
      <c r="A38" s="7"/>
      <c r="B38" s="7"/>
      <c r="C38" s="26" t="s">
        <v>13</v>
      </c>
      <c r="D38" s="27"/>
      <c r="E38" s="28">
        <f>E37*18%</f>
        <v>409860</v>
      </c>
      <c r="F38" s="28">
        <f>F37*18%</f>
        <v>376015.5</v>
      </c>
    </row>
    <row r="39" spans="1:6" ht="15.75" x14ac:dyDescent="0.25">
      <c r="A39" s="7"/>
      <c r="B39" s="7"/>
      <c r="C39" s="26" t="s">
        <v>14</v>
      </c>
      <c r="D39" s="27"/>
      <c r="E39" s="28">
        <f>SUM(E37:E38)</f>
        <v>2686860</v>
      </c>
      <c r="F39" s="28">
        <f>SUM(F37:F38)</f>
        <v>2464990.5</v>
      </c>
    </row>
    <row r="40" spans="1:6" x14ac:dyDescent="0.25">
      <c r="F40" s="3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2026-09-28T04:35:16Z</dcterms:modified>
</cp:coreProperties>
</file>