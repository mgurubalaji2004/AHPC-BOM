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0f3a65cdbeef010/Documents/"/>
    </mc:Choice>
  </mc:AlternateContent>
  <xr:revisionPtr revIDLastSave="17" documentId="8_{96D131D2-9BC2-4CB2-BB53-D0154AD8F054}" xr6:coauthVersionLast="47" xr6:coauthVersionMax="47" xr10:uidLastSave="{0C5787F1-B244-441E-B6E1-D8FF1820DA0A}"/>
  <bookViews>
    <workbookView xWindow="-108" yWindow="-108" windowWidth="23256" windowHeight="13176" xr2:uid="{F2A39800-E1CD-4730-A163-62BA5D53B9C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4" i="1" l="1"/>
</calcChain>
</file>

<file path=xl/sharedStrings.xml><?xml version="1.0" encoding="utf-8"?>
<sst xmlns="http://schemas.openxmlformats.org/spreadsheetml/2006/main" count="74" uniqueCount="54">
  <si>
    <t>Quatation No</t>
  </si>
  <si>
    <t xml:space="preserve">Customer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</si>
  <si>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</si>
  <si>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</si>
  <si>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</si>
  <si>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</si>
  <si>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</si>
  <si>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</si>
  <si>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</si>
  <si>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</si>
  <si>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</si>
  <si>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</si>
  <si>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Sub total</t>
  </si>
  <si>
    <t>GST -18%</t>
  </si>
  <si>
    <t>Total Price</t>
  </si>
  <si>
    <t xml:space="preserve">indicate changes if any </t>
  </si>
  <si>
    <t>Unit Prize</t>
  </si>
  <si>
    <t>AMD EPYC™ 9354 (32 Cores, Base Freq 3.25GHz, Max Freq 3.8GHz, 256MB Cache)</t>
  </si>
  <si>
    <t>Dynatron J12</t>
  </si>
  <si>
    <t>32GB DDR5</t>
  </si>
  <si>
    <t>Date: 29/04/2026</t>
  </si>
  <si>
    <t>IIT HYDERABAD</t>
  </si>
  <si>
    <t>4U Chassis</t>
  </si>
  <si>
    <t>480GB SATA SSD</t>
  </si>
  <si>
    <t>Tyan S8050GM4NE-2T</t>
  </si>
  <si>
    <t>Graphics</t>
  </si>
  <si>
    <t>1600W RPS</t>
  </si>
  <si>
    <t>Quantity</t>
  </si>
  <si>
    <t>Unit Price</t>
  </si>
  <si>
    <t>CHASSIS</t>
  </si>
  <si>
    <t xml:space="preserve">2U 12 BAY RACKMOUNTABLE CHASSIS </t>
  </si>
  <si>
    <t>MOTHERBOARD</t>
  </si>
  <si>
    <t xml:space="preserve">S8050GM2NE-2T TYAN MOTHERBOARD </t>
  </si>
  <si>
    <t>RAM</t>
  </si>
  <si>
    <t>32GB DDR5 RAM</t>
  </si>
  <si>
    <t>480GB SSD</t>
  </si>
  <si>
    <t>HDD</t>
  </si>
  <si>
    <t>16TB HDD</t>
  </si>
  <si>
    <t>RAID CARD</t>
  </si>
  <si>
    <t>MegaRAID 9560-16i (8GB CACHE)</t>
  </si>
  <si>
    <t>HEAT SINK</t>
  </si>
  <si>
    <t xml:space="preserve">DYNATRON   J10 </t>
  </si>
  <si>
    <t>POWER SUPPLY</t>
  </si>
  <si>
    <t>Margin Price</t>
  </si>
  <si>
    <t>RAID CARD CABLES</t>
  </si>
  <si>
    <t>AMD EPYC™ 9124 (16 Core, Base Freq 3.0GHz, Max Freq 3.7GHz, 64MB Cache)</t>
  </si>
  <si>
    <t>Power Supply</t>
  </si>
  <si>
    <t>With Margin(20%)</t>
  </si>
  <si>
    <t>1200W RPS</t>
  </si>
  <si>
    <t>For 3 Unit</t>
  </si>
  <si>
    <t>Switch</t>
  </si>
  <si>
    <t>Networking</t>
  </si>
  <si>
    <t>Ethernet Card</t>
  </si>
  <si>
    <t>Nvidia RTX 6000 Ada Gen 48GB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</si>
</sst>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1272A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Roboto"/>
    </font>
    <font>
      <sz val="11"/>
      <color rgb="FF27294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>
      <alignment vertical="top"/>
    </xf>
  </cellStyleXfs>
  <cellXfs count="53">
    <xf numFmtId="0" fontId="0" fillId="0" borderId="0" xfId="0"/>
    <xf numFmtId="0" fontId="2" fillId="0" borderId="1" xfId="0" applyFont="1" applyBorder="1" applyAlignment="1">
      <alignment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wrapText="1"/>
    </xf>
    <xf numFmtId="0" fontId="0" fillId="5" borderId="1" xfId="0" applyFill="1" applyBorder="1" applyAlignment="1">
      <alignment horizontal="center" vertical="top" wrapText="1"/>
    </xf>
    <xf numFmtId="0" fontId="3" fillId="3" borderId="1" xfId="0" applyFont="1" applyFill="1" applyBorder="1" applyAlignment="1">
      <alignment vertical="top"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vertical="top" wrapText="1"/>
    </xf>
    <xf numFmtId="3" fontId="0" fillId="0" borderId="1" xfId="0" applyNumberFormat="1" applyBorder="1" applyAlignment="1">
      <alignment horizontal="center" wrapText="1"/>
    </xf>
    <xf numFmtId="0" fontId="6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4" fillId="0" borderId="0" xfId="0" applyFont="1"/>
    <xf numFmtId="0" fontId="4" fillId="4" borderId="1" xfId="0" applyFont="1" applyFill="1" applyBorder="1" applyAlignment="1">
      <alignment vertical="top" wrapText="1"/>
    </xf>
    <xf numFmtId="3" fontId="4" fillId="0" borderId="1" xfId="0" applyNumberFormat="1" applyFont="1" applyBorder="1" applyAlignment="1">
      <alignment horizontal="center" wrapText="1"/>
    </xf>
    <xf numFmtId="0" fontId="4" fillId="0" borderId="1" xfId="0" applyFont="1" applyBorder="1"/>
    <xf numFmtId="0" fontId="4" fillId="0" borderId="1" xfId="0" applyFont="1" applyBorder="1" applyAlignment="1">
      <alignment horizontal="left" vertical="center" wrapText="1"/>
    </xf>
    <xf numFmtId="0" fontId="1" fillId="4" borderId="5" xfId="1" applyFont="1" applyFill="1" applyBorder="1">
      <alignment vertical="top"/>
    </xf>
    <xf numFmtId="0" fontId="1" fillId="4" borderId="1" xfId="1" applyFont="1" applyFill="1" applyBorder="1" applyAlignment="1">
      <alignment horizontal="center" vertical="top"/>
    </xf>
    <xf numFmtId="0" fontId="1" fillId="0" borderId="1" xfId="1" applyFont="1" applyBorder="1" applyAlignment="1">
      <alignment wrapText="1"/>
    </xf>
    <xf numFmtId="0" fontId="1" fillId="0" borderId="1" xfId="1" applyFont="1" applyBorder="1" applyAlignment="1">
      <alignment vertical="top" wrapText="1"/>
    </xf>
    <xf numFmtId="0" fontId="1" fillId="0" borderId="1" xfId="1" applyFont="1" applyBorder="1" applyAlignment="1">
      <alignment horizontal="center" wrapText="1"/>
    </xf>
    <xf numFmtId="0" fontId="1" fillId="0" borderId="1" xfId="1" applyFont="1" applyBorder="1" applyAlignment="1">
      <alignment vertical="center" wrapText="1"/>
    </xf>
    <xf numFmtId="0" fontId="1" fillId="0" borderId="1" xfId="1" applyFont="1" applyBorder="1">
      <alignment vertical="top"/>
    </xf>
    <xf numFmtId="0" fontId="1" fillId="0" borderId="4" xfId="1" applyFont="1" applyBorder="1" applyAlignment="1">
      <alignment wrapText="1"/>
    </xf>
    <xf numFmtId="0" fontId="1" fillId="0" borderId="4" xfId="1" applyFont="1" applyBorder="1" applyAlignment="1">
      <alignment vertical="top" wrapText="1"/>
    </xf>
    <xf numFmtId="0" fontId="1" fillId="0" borderId="4" xfId="1" applyFont="1" applyBorder="1" applyAlignment="1">
      <alignment horizontal="center" wrapText="1"/>
    </xf>
    <xf numFmtId="0" fontId="1" fillId="0" borderId="2" xfId="1" applyFont="1" applyBorder="1" applyAlignment="1">
      <alignment wrapText="1"/>
    </xf>
    <xf numFmtId="0" fontId="1" fillId="0" borderId="6" xfId="1" applyFont="1" applyBorder="1" applyAlignment="1">
      <alignment horizontal="center" wrapText="1"/>
    </xf>
    <xf numFmtId="0" fontId="1" fillId="0" borderId="2" xfId="1" applyFont="1" applyBorder="1">
      <alignment vertical="top"/>
    </xf>
    <xf numFmtId="0" fontId="1" fillId="0" borderId="1" xfId="1" applyFont="1" applyBorder="1" applyAlignment="1">
      <alignment horizontal="center"/>
    </xf>
    <xf numFmtId="0" fontId="1" fillId="4" borderId="3" xfId="1" applyFont="1" applyFill="1" applyBorder="1" applyAlignment="1">
      <alignment horizontal="center" vertical="top"/>
    </xf>
    <xf numFmtId="0" fontId="1" fillId="5" borderId="1" xfId="1" applyFont="1" applyFill="1" applyBorder="1" applyAlignment="1">
      <alignment horizontal="center" vertical="top" wrapText="1"/>
    </xf>
    <xf numFmtId="0" fontId="0" fillId="4" borderId="1" xfId="0" applyFill="1" applyBorder="1" applyAlignment="1">
      <alignment horizontal="center" vertical="top" wrapText="1"/>
    </xf>
    <xf numFmtId="0" fontId="0" fillId="4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top" wrapText="1"/>
    </xf>
    <xf numFmtId="3" fontId="0" fillId="0" borderId="6" xfId="0" applyNumberFormat="1" applyBorder="1" applyAlignment="1">
      <alignment horizontal="center" wrapText="1"/>
    </xf>
    <xf numFmtId="3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" fillId="4" borderId="1" xfId="1" applyFont="1" applyFill="1" applyBorder="1">
      <alignment vertical="top"/>
    </xf>
    <xf numFmtId="14" fontId="0" fillId="0" borderId="1" xfId="0" applyNumberForma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3" fontId="0" fillId="0" borderId="0" xfId="0" applyNumberFormat="1" applyAlignment="1">
      <alignment horizontal="center"/>
    </xf>
  </cellXfs>
  <cellStyles count="2">
    <cellStyle name="Normal" xfId="0" builtinId="0"/>
    <cellStyle name="Normal 2" xfId="1" xr:uid="{570F53FF-35D7-4FF7-ABD8-27E59609DF00}"/>
  </cellStyles>
  <dxfs count="0"/>
  <tableStyles count="0" defaultTableStyle="TableStyleMedium2" defaultPivotStyle="PivotStyleLight16"/>
  <colors>
    <mruColors>
      <color rgb="FFD4F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C0029-A1DF-48B6-A539-F6ED086A139B}">
  <dimension ref="A1:F42"/>
  <sheetViews>
    <sheetView tabSelected="1" zoomScale="79" zoomScaleNormal="69" workbookViewId="0">
      <selection activeCell="I19" sqref="I19"/>
    </sheetView>
  </sheetViews>
  <sheetFormatPr defaultRowHeight="14.4" x14ac:dyDescent="0.3"/>
  <cols>
    <col min="1" max="1" width="16.77734375" customWidth="1"/>
    <col min="2" max="2" width="51.6640625" customWidth="1"/>
    <col min="3" max="3" width="16.5546875" customWidth="1"/>
    <col min="4" max="4" width="11.21875" customWidth="1"/>
    <col min="5" max="5" width="16.6640625" customWidth="1"/>
    <col min="6" max="6" width="30.44140625" customWidth="1"/>
  </cols>
  <sheetData>
    <row r="1" spans="1:6" x14ac:dyDescent="0.3">
      <c r="A1" s="42" t="s">
        <v>0</v>
      </c>
      <c r="B1" s="18">
        <v>20260001199</v>
      </c>
      <c r="C1" s="3"/>
      <c r="D1" s="3"/>
      <c r="E1" s="3"/>
      <c r="F1" s="4"/>
    </row>
    <row r="2" spans="1:6" x14ac:dyDescent="0.3">
      <c r="A2" s="13" t="s">
        <v>1</v>
      </c>
      <c r="B2" s="13" t="s">
        <v>21</v>
      </c>
      <c r="C2" s="5" t="s">
        <v>20</v>
      </c>
      <c r="D2" s="50"/>
      <c r="E2" s="51"/>
      <c r="F2" s="4"/>
    </row>
    <row r="3" spans="1:6" x14ac:dyDescent="0.3">
      <c r="A3" s="7" t="s">
        <v>2</v>
      </c>
      <c r="B3" s="7" t="s">
        <v>3</v>
      </c>
      <c r="C3" s="40" t="s">
        <v>4</v>
      </c>
      <c r="D3" s="41" t="s">
        <v>16</v>
      </c>
      <c r="E3" s="41" t="s">
        <v>5</v>
      </c>
      <c r="F3" s="7" t="s">
        <v>15</v>
      </c>
    </row>
    <row r="4" spans="1:6" x14ac:dyDescent="0.3">
      <c r="A4" s="3" t="s">
        <v>6</v>
      </c>
      <c r="B4" s="8" t="s">
        <v>22</v>
      </c>
      <c r="C4" s="6">
        <v>1</v>
      </c>
      <c r="D4" s="16">
        <v>65000</v>
      </c>
      <c r="E4" s="16">
        <v>65000</v>
      </c>
      <c r="F4" s="4"/>
    </row>
    <row r="5" spans="1:6" x14ac:dyDescent="0.3">
      <c r="A5" s="3" t="s">
        <v>7</v>
      </c>
      <c r="B5" s="1" t="s">
        <v>24</v>
      </c>
      <c r="C5" s="6">
        <v>1</v>
      </c>
      <c r="D5" s="16">
        <v>88000</v>
      </c>
      <c r="E5" s="16">
        <v>88000</v>
      </c>
      <c r="F5" s="4"/>
    </row>
    <row r="6" spans="1:6" ht="28.8" x14ac:dyDescent="0.3">
      <c r="A6" s="3" t="s">
        <v>8</v>
      </c>
      <c r="B6" s="14" t="s">
        <v>17</v>
      </c>
      <c r="C6" s="6">
        <v>1</v>
      </c>
      <c r="D6" s="16">
        <v>200000</v>
      </c>
      <c r="E6" s="16">
        <v>200000</v>
      </c>
      <c r="F6" s="4"/>
    </row>
    <row r="7" spans="1:6" x14ac:dyDescent="0.3">
      <c r="A7" s="3" t="s">
        <v>9</v>
      </c>
      <c r="B7" s="2" t="s">
        <v>18</v>
      </c>
      <c r="C7" s="6">
        <v>1</v>
      </c>
      <c r="D7" s="16">
        <v>6500</v>
      </c>
      <c r="E7" s="16">
        <v>6500</v>
      </c>
      <c r="F7" s="4"/>
    </row>
    <row r="8" spans="1:6" x14ac:dyDescent="0.3">
      <c r="A8" s="3" t="s">
        <v>10</v>
      </c>
      <c r="B8" s="2" t="s">
        <v>19</v>
      </c>
      <c r="C8" s="6">
        <v>2</v>
      </c>
      <c r="D8" s="16">
        <v>85000</v>
      </c>
      <c r="E8" s="16">
        <v>170000</v>
      </c>
      <c r="F8" s="4"/>
    </row>
    <row r="9" spans="1:6" x14ac:dyDescent="0.3">
      <c r="A9" s="3" t="s">
        <v>25</v>
      </c>
      <c r="B9" s="2" t="s">
        <v>53</v>
      </c>
      <c r="C9" s="6">
        <v>2</v>
      </c>
      <c r="D9" s="16">
        <v>800000</v>
      </c>
      <c r="E9" s="16">
        <v>1600000</v>
      </c>
      <c r="F9" s="4"/>
    </row>
    <row r="10" spans="1:6" x14ac:dyDescent="0.3">
      <c r="A10" s="3" t="s">
        <v>51</v>
      </c>
      <c r="B10" s="2" t="s">
        <v>52</v>
      </c>
      <c r="C10" s="6">
        <v>1</v>
      </c>
      <c r="D10" s="16">
        <v>100000</v>
      </c>
      <c r="E10" s="16">
        <v>100000</v>
      </c>
      <c r="F10" s="4"/>
    </row>
    <row r="11" spans="1:6" x14ac:dyDescent="0.3">
      <c r="A11" s="3" t="s">
        <v>11</v>
      </c>
      <c r="B11" s="9" t="s">
        <v>23</v>
      </c>
      <c r="C11" s="6">
        <v>2</v>
      </c>
      <c r="D11" s="16">
        <v>41000</v>
      </c>
      <c r="E11" s="16">
        <v>82000</v>
      </c>
      <c r="F11" s="4"/>
    </row>
    <row r="12" spans="1:6" x14ac:dyDescent="0.3">
      <c r="A12" s="3" t="s">
        <v>46</v>
      </c>
      <c r="B12" s="9" t="s">
        <v>26</v>
      </c>
      <c r="C12" s="6">
        <v>1</v>
      </c>
      <c r="D12" s="16">
        <v>50000</v>
      </c>
      <c r="E12" s="16">
        <v>50000</v>
      </c>
      <c r="F12" s="4"/>
    </row>
    <row r="13" spans="1:6" ht="16.2" customHeight="1" x14ac:dyDescent="0.3">
      <c r="A13" s="3"/>
      <c r="B13" s="15"/>
      <c r="C13" s="11" t="s">
        <v>47</v>
      </c>
      <c r="D13" s="6"/>
      <c r="E13" s="43">
        <v>2850000</v>
      </c>
      <c r="F13" s="4"/>
    </row>
    <row r="14" spans="1:6" x14ac:dyDescent="0.3">
      <c r="A14" s="3"/>
      <c r="B14" s="3"/>
      <c r="C14" s="7" t="s">
        <v>12</v>
      </c>
      <c r="D14" s="10"/>
      <c r="E14" s="52">
        <f>SUM(E4:E12)</f>
        <v>2361500</v>
      </c>
      <c r="F14" s="4"/>
    </row>
    <row r="15" spans="1:6" x14ac:dyDescent="0.3">
      <c r="A15" s="3"/>
      <c r="B15" s="3"/>
      <c r="C15" s="7" t="s">
        <v>13</v>
      </c>
      <c r="D15" s="12"/>
      <c r="E15" s="45">
        <v>513000</v>
      </c>
      <c r="F15" s="4"/>
    </row>
    <row r="16" spans="1:6" x14ac:dyDescent="0.3">
      <c r="A16" s="3"/>
      <c r="B16" s="3"/>
      <c r="C16" s="7" t="s">
        <v>14</v>
      </c>
      <c r="D16" s="12"/>
      <c r="E16" s="46">
        <v>3363000</v>
      </c>
      <c r="F16" s="4"/>
    </row>
    <row r="17" spans="1:6" x14ac:dyDescent="0.3">
      <c r="C17" s="7" t="s">
        <v>49</v>
      </c>
      <c r="D17" s="4"/>
      <c r="E17" s="44">
        <v>10089000</v>
      </c>
    </row>
    <row r="20" spans="1:6" x14ac:dyDescent="0.3">
      <c r="A20" s="24" t="s">
        <v>2</v>
      </c>
      <c r="B20" s="24" t="s">
        <v>3</v>
      </c>
      <c r="C20" s="25" t="s">
        <v>27</v>
      </c>
      <c r="D20" s="25" t="s">
        <v>28</v>
      </c>
      <c r="E20" s="20" t="s">
        <v>5</v>
      </c>
      <c r="F20" s="20" t="s">
        <v>15</v>
      </c>
    </row>
    <row r="21" spans="1:6" x14ac:dyDescent="0.3">
      <c r="A21" s="26" t="s">
        <v>29</v>
      </c>
      <c r="B21" s="27" t="s">
        <v>30</v>
      </c>
      <c r="C21" s="28">
        <v>1</v>
      </c>
      <c r="D21" s="21">
        <v>120000</v>
      </c>
      <c r="E21" s="21">
        <v>120000</v>
      </c>
      <c r="F21" s="22"/>
    </row>
    <row r="22" spans="1:6" x14ac:dyDescent="0.3">
      <c r="A22" s="26" t="s">
        <v>31</v>
      </c>
      <c r="B22" s="22" t="s">
        <v>32</v>
      </c>
      <c r="C22" s="28">
        <v>1</v>
      </c>
      <c r="D22" s="21">
        <v>100000</v>
      </c>
      <c r="E22" s="21">
        <v>100000</v>
      </c>
      <c r="F22" s="22"/>
    </row>
    <row r="23" spans="1:6" ht="28.8" x14ac:dyDescent="0.3">
      <c r="A23" s="29" t="s">
        <v>8</v>
      </c>
      <c r="B23" s="14" t="s">
        <v>45</v>
      </c>
      <c r="C23" s="28">
        <v>1</v>
      </c>
      <c r="D23" s="21">
        <v>100000</v>
      </c>
      <c r="E23" s="21">
        <v>100000</v>
      </c>
      <c r="F23" s="22"/>
    </row>
    <row r="24" spans="1:6" x14ac:dyDescent="0.3">
      <c r="A24" s="26" t="s">
        <v>33</v>
      </c>
      <c r="B24" s="27" t="s">
        <v>34</v>
      </c>
      <c r="C24" s="28">
        <v>2</v>
      </c>
      <c r="D24" s="28">
        <v>85000</v>
      </c>
      <c r="E24" s="21">
        <v>170000</v>
      </c>
      <c r="F24" s="22"/>
    </row>
    <row r="25" spans="1:6" x14ac:dyDescent="0.3">
      <c r="A25" s="26" t="s">
        <v>11</v>
      </c>
      <c r="B25" s="30" t="s">
        <v>35</v>
      </c>
      <c r="C25" s="28">
        <v>2</v>
      </c>
      <c r="D25" s="28">
        <v>41000</v>
      </c>
      <c r="E25" s="21">
        <v>82000</v>
      </c>
      <c r="F25" s="22"/>
    </row>
    <row r="26" spans="1:6" x14ac:dyDescent="0.3">
      <c r="A26" s="31" t="s">
        <v>36</v>
      </c>
      <c r="B26" s="32" t="s">
        <v>37</v>
      </c>
      <c r="C26" s="33">
        <v>12</v>
      </c>
      <c r="D26" s="28">
        <v>65000</v>
      </c>
      <c r="E26" s="21">
        <v>780000</v>
      </c>
      <c r="F26" s="22"/>
    </row>
    <row r="27" spans="1:6" x14ac:dyDescent="0.3">
      <c r="A27" s="26" t="s">
        <v>38</v>
      </c>
      <c r="B27" s="23" t="s">
        <v>39</v>
      </c>
      <c r="C27" s="28">
        <v>1</v>
      </c>
      <c r="D27" s="21">
        <v>200000</v>
      </c>
      <c r="E27" s="21">
        <v>200000</v>
      </c>
      <c r="F27" s="22"/>
    </row>
    <row r="28" spans="1:6" x14ac:dyDescent="0.3">
      <c r="A28" s="34" t="s">
        <v>44</v>
      </c>
      <c r="B28" s="17" t="s">
        <v>44</v>
      </c>
      <c r="C28" s="35">
        <v>1</v>
      </c>
      <c r="D28" s="21">
        <v>7000</v>
      </c>
      <c r="E28" s="21">
        <v>7000</v>
      </c>
      <c r="F28" s="22"/>
    </row>
    <row r="29" spans="1:6" x14ac:dyDescent="0.3">
      <c r="A29" s="34" t="s">
        <v>40</v>
      </c>
      <c r="B29" s="17" t="s">
        <v>41</v>
      </c>
      <c r="C29" s="28">
        <v>1</v>
      </c>
      <c r="D29" s="47">
        <v>7500</v>
      </c>
      <c r="E29" s="47">
        <v>7500</v>
      </c>
      <c r="F29" s="22"/>
    </row>
    <row r="30" spans="1:6" x14ac:dyDescent="0.3">
      <c r="A30" s="36" t="s">
        <v>42</v>
      </c>
      <c r="B30" s="30" t="s">
        <v>48</v>
      </c>
      <c r="C30" s="28">
        <v>1</v>
      </c>
      <c r="D30" s="47">
        <v>38000</v>
      </c>
      <c r="E30" s="47">
        <v>38000</v>
      </c>
      <c r="F30" s="22"/>
    </row>
    <row r="31" spans="1:6" x14ac:dyDescent="0.3">
      <c r="A31" s="36"/>
      <c r="B31" s="30"/>
      <c r="C31" s="38" t="s">
        <v>12</v>
      </c>
      <c r="D31" s="37"/>
      <c r="E31" s="48">
        <v>1604500</v>
      </c>
      <c r="F31" s="22"/>
    </row>
    <row r="32" spans="1:6" x14ac:dyDescent="0.3">
      <c r="A32" s="36"/>
      <c r="B32" s="30"/>
      <c r="C32" s="38" t="s">
        <v>43</v>
      </c>
      <c r="D32" s="37"/>
      <c r="E32" s="45">
        <v>1950000</v>
      </c>
      <c r="F32" s="22"/>
    </row>
    <row r="33" spans="1:6" x14ac:dyDescent="0.3">
      <c r="A33" s="36"/>
      <c r="B33" s="30"/>
      <c r="C33" s="38" t="s">
        <v>13</v>
      </c>
      <c r="D33" s="37"/>
      <c r="E33" s="47">
        <v>351000</v>
      </c>
      <c r="F33" s="22"/>
    </row>
    <row r="34" spans="1:6" x14ac:dyDescent="0.3">
      <c r="A34" s="30"/>
      <c r="B34" s="30"/>
      <c r="C34" s="25" t="s">
        <v>14</v>
      </c>
      <c r="D34" s="39"/>
      <c r="E34" s="47">
        <v>2301000</v>
      </c>
      <c r="F34" s="22"/>
    </row>
    <row r="35" spans="1:6" x14ac:dyDescent="0.3">
      <c r="A35" s="19"/>
      <c r="B35" s="19"/>
      <c r="C35" s="19"/>
      <c r="D35" s="19"/>
      <c r="E35" s="19"/>
      <c r="F35" s="19"/>
    </row>
    <row r="37" spans="1:6" x14ac:dyDescent="0.3">
      <c r="A37" s="49" t="s">
        <v>2</v>
      </c>
      <c r="B37" s="49" t="s">
        <v>3</v>
      </c>
      <c r="C37" s="25" t="s">
        <v>27</v>
      </c>
      <c r="D37" s="25" t="s">
        <v>28</v>
      </c>
      <c r="E37" s="20" t="s">
        <v>5</v>
      </c>
    </row>
    <row r="38" spans="1:6" x14ac:dyDescent="0.3">
      <c r="A38" s="4" t="s">
        <v>50</v>
      </c>
      <c r="B38" s="4" t="s">
        <v>50</v>
      </c>
      <c r="C38" s="4">
        <v>1</v>
      </c>
      <c r="D38" s="4">
        <v>250000</v>
      </c>
      <c r="E38" s="4">
        <v>250000</v>
      </c>
    </row>
    <row r="39" spans="1:6" x14ac:dyDescent="0.3">
      <c r="A39" s="4"/>
      <c r="B39" s="4"/>
      <c r="C39" s="25" t="s">
        <v>12</v>
      </c>
      <c r="D39" s="37"/>
      <c r="E39" s="48">
        <v>250000</v>
      </c>
    </row>
    <row r="40" spans="1:6" x14ac:dyDescent="0.3">
      <c r="A40" s="4"/>
      <c r="B40" s="4"/>
      <c r="C40" s="25" t="s">
        <v>43</v>
      </c>
      <c r="D40" s="37"/>
      <c r="E40" s="45">
        <v>300000</v>
      </c>
    </row>
    <row r="41" spans="1:6" x14ac:dyDescent="0.3">
      <c r="A41" s="4"/>
      <c r="B41" s="4"/>
      <c r="C41" s="25" t="s">
        <v>13</v>
      </c>
      <c r="D41" s="37"/>
      <c r="E41" s="47">
        <v>54000</v>
      </c>
    </row>
    <row r="42" spans="1:6" x14ac:dyDescent="0.3">
      <c r="A42" s="4"/>
      <c r="B42" s="4"/>
      <c r="C42" s="25" t="s">
        <v>14</v>
      </c>
      <c r="D42" s="39"/>
      <c r="E42" s="47">
        <v>354000</v>
      </c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917708714142</cp:lastModifiedBy>
  <dcterms:created xsi:type="dcterms:W3CDTF">2026-02-26T06:16:45Z</dcterms:created>
  <dcterms:modified xsi:type="dcterms:W3CDTF">2026-04-29T12:48:15Z</dcterms:modified>
</cp:coreProperties>
</file>