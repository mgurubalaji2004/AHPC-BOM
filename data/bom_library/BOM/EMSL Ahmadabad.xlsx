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E50" i="1" s="1"/>
  <c r="E30" i="1" l="1"/>
  <c r="E31" i="1" s="1"/>
  <c r="F31" i="1" s="1"/>
  <c r="E14" i="1"/>
  <c r="E15" i="1"/>
  <c r="F15" i="1" s="1"/>
  <c r="F14" i="1"/>
  <c r="F13" i="1"/>
  <c r="E51" i="1" l="1"/>
  <c r="E32" i="1"/>
  <c r="F30" i="1"/>
  <c r="F16" i="1"/>
  <c r="F17" i="1"/>
  <c r="E13" i="1"/>
  <c r="E52" i="1" l="1"/>
  <c r="E53" i="1" s="1"/>
  <c r="E33" i="1"/>
  <c r="E34" i="1" s="1"/>
  <c r="F32" i="1"/>
  <c r="E16" i="1"/>
  <c r="E17" i="1" s="1"/>
  <c r="F33" i="1" l="1"/>
  <c r="F34" i="1" s="1"/>
</calcChain>
</file>

<file path=xl/sharedStrings.xml><?xml version="1.0" encoding="utf-8"?>
<sst xmlns="http://schemas.openxmlformats.org/spreadsheetml/2006/main" count="104" uniqueCount="45">
  <si>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</si>
  <si>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</si>
  <si>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</si>
  <si>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</si>
  <si>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</si>
  <si>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</si>
  <si>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</si>
  <si>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</si>
  <si>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</si>
  <si>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</si>
  <si>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</si>
  <si>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</si>
  <si>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</si>
  <si>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</si>
  <si>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</si>
  <si>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</si>
  <si>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</si>
  <si>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</si>
  <si>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</si>
  <si>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</si>
  <si>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</si>
  <si>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</si>
  <si>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Full tower chassis</t>
  </si>
  <si>
    <t xml:space="preserve">Intel® Core™ i5 processor 14400 </t>
  </si>
  <si>
    <t>Air Cooler</t>
  </si>
  <si>
    <t xml:space="preserve">24" Monitor </t>
  </si>
  <si>
    <t>1TB M.2 NVMe SSD</t>
  </si>
  <si>
    <t>Window-11 Pro</t>
  </si>
  <si>
    <t>8GB DDR5 4800MHz</t>
  </si>
  <si>
    <t>B760M G AX (Rev. 1.0)
Intel® B760 Express Chipset</t>
  </si>
  <si>
    <t xml:space="preserve">750W ATX </t>
  </si>
  <si>
    <t>qty 3</t>
  </si>
  <si>
    <t xml:space="preserve">GIGABYTE B550 MDS3H AC R2 </t>
  </si>
  <si>
    <t>Full tower chassis 4000D</t>
  </si>
  <si>
    <t>8GB DDR4 3200MHz</t>
  </si>
  <si>
    <t>AMD RYZEN5 5600GT (6-Cores, Base Freq 3.6GHz, Max Freq 4.6GHz, Cache 16MB)</t>
  </si>
  <si>
    <t xml:space="preserve">650W ATX </t>
  </si>
  <si>
    <t>b760 m gaming wifi 6e 
Intel® B760 Express Chipset</t>
  </si>
  <si>
    <t>IT Gear</t>
  </si>
  <si>
    <t xml:space="preserve">Tower chassis </t>
  </si>
  <si>
    <t>HP Smart tank printer  585</t>
  </si>
  <si>
    <t>Keyboard and mouse</t>
  </si>
  <si>
    <t xml:space="preserve">24" inch monitor </t>
  </si>
  <si>
    <t>2TB SATA HDD</t>
  </si>
  <si>
    <t>256GB SATA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</si>
</sst>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35" zoomScale="109" zoomScaleNormal="130" workbookViewId="0">
      <selection activeCell="A36" sqref="A36:F5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  <col min="9" max="9" width="18.42578125" customWidth="1"/>
    <col min="12" max="12" width="10.7109375" customWidth="1"/>
    <col min="13" max="13" width="11.140625" customWidth="1"/>
    <col min="14" max="14" width="10.1406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22</v>
      </c>
      <c r="C4" s="11">
        <v>1</v>
      </c>
      <c r="D4" s="12">
        <v>12000</v>
      </c>
      <c r="E4" s="13">
        <v>12000</v>
      </c>
      <c r="F4" s="14"/>
    </row>
    <row r="5" spans="1:6" ht="31.5" x14ac:dyDescent="0.25">
      <c r="A5" s="9" t="s">
        <v>8</v>
      </c>
      <c r="B5" s="15" t="s">
        <v>29</v>
      </c>
      <c r="C5" s="11">
        <v>1</v>
      </c>
      <c r="D5" s="12">
        <v>9300</v>
      </c>
      <c r="E5" s="13">
        <v>10000</v>
      </c>
      <c r="F5" s="14"/>
    </row>
    <row r="6" spans="1:6" ht="15.75" x14ac:dyDescent="0.25">
      <c r="A6" s="9" t="s">
        <v>9</v>
      </c>
      <c r="B6" s="16" t="s">
        <v>23</v>
      </c>
      <c r="C6" s="11">
        <v>1</v>
      </c>
      <c r="D6" s="12">
        <v>25000</v>
      </c>
      <c r="E6" s="17">
        <v>25000</v>
      </c>
      <c r="F6" s="14"/>
    </row>
    <row r="7" spans="1:6" ht="15.75" x14ac:dyDescent="0.25">
      <c r="A7" s="9" t="s">
        <v>10</v>
      </c>
      <c r="B7" s="18" t="s">
        <v>24</v>
      </c>
      <c r="C7" s="11">
        <v>1</v>
      </c>
      <c r="D7" s="12">
        <v>3500</v>
      </c>
      <c r="E7" s="17">
        <v>3500</v>
      </c>
      <c r="F7" s="14"/>
    </row>
    <row r="8" spans="1:6" ht="15.75" x14ac:dyDescent="0.25">
      <c r="A8" s="9" t="s">
        <v>11</v>
      </c>
      <c r="B8" s="19" t="s">
        <v>28</v>
      </c>
      <c r="C8" s="11">
        <v>1</v>
      </c>
      <c r="D8" s="12">
        <v>20000</v>
      </c>
      <c r="E8" s="17">
        <v>20000</v>
      </c>
      <c r="F8" s="14"/>
    </row>
    <row r="9" spans="1:6" ht="15.75" x14ac:dyDescent="0.25">
      <c r="A9" s="9" t="s">
        <v>12</v>
      </c>
      <c r="B9" s="16" t="s">
        <v>26</v>
      </c>
      <c r="C9" s="11">
        <v>1</v>
      </c>
      <c r="D9" s="12">
        <v>14000</v>
      </c>
      <c r="E9" s="17">
        <v>14000</v>
      </c>
      <c r="F9" s="14"/>
    </row>
    <row r="10" spans="1:6" ht="15.75" x14ac:dyDescent="0.25">
      <c r="A10" s="9" t="s">
        <v>13</v>
      </c>
      <c r="B10" s="16" t="s">
        <v>30</v>
      </c>
      <c r="C10" s="11">
        <v>1</v>
      </c>
      <c r="D10" s="12">
        <v>7000</v>
      </c>
      <c r="E10" s="20">
        <v>7000</v>
      </c>
      <c r="F10" s="14"/>
    </row>
    <row r="11" spans="1:6" ht="15.75" x14ac:dyDescent="0.25">
      <c r="A11" s="9" t="s">
        <v>18</v>
      </c>
      <c r="B11" s="14" t="s">
        <v>25</v>
      </c>
      <c r="C11" s="11">
        <v>1</v>
      </c>
      <c r="D11" s="21">
        <v>7000</v>
      </c>
      <c r="E11" s="22">
        <v>7000</v>
      </c>
      <c r="F11" s="14"/>
    </row>
    <row r="12" spans="1:6" ht="14.25" customHeight="1" x14ac:dyDescent="0.25">
      <c r="A12" s="9" t="s">
        <v>19</v>
      </c>
      <c r="B12" s="19" t="s">
        <v>27</v>
      </c>
      <c r="C12" s="11">
        <v>1</v>
      </c>
      <c r="D12" s="12">
        <v>8500</v>
      </c>
      <c r="E12" s="20">
        <v>9000</v>
      </c>
      <c r="F12" s="14" t="s">
        <v>31</v>
      </c>
    </row>
    <row r="13" spans="1:6" ht="16.149999999999999" customHeight="1" x14ac:dyDescent="0.25">
      <c r="A13" s="9"/>
      <c r="B13" s="23"/>
      <c r="C13" s="24" t="s">
        <v>17</v>
      </c>
      <c r="D13" s="25"/>
      <c r="E13" s="8">
        <f>SUM(E4:E12)</f>
        <v>107500</v>
      </c>
      <c r="F13" s="8">
        <f>E13*3</f>
        <v>322500</v>
      </c>
    </row>
    <row r="14" spans="1:6" ht="16.149999999999999" customHeight="1" x14ac:dyDescent="0.25">
      <c r="A14" s="9"/>
      <c r="B14" s="23"/>
      <c r="C14" s="30">
        <v>0.15</v>
      </c>
      <c r="D14" s="25"/>
      <c r="E14" s="26">
        <f>E13*18%</f>
        <v>19350</v>
      </c>
      <c r="F14" s="8">
        <f>E14*3</f>
        <v>58050</v>
      </c>
    </row>
    <row r="15" spans="1:6" ht="18" customHeight="1" x14ac:dyDescent="0.25">
      <c r="A15" s="9"/>
      <c r="B15" s="9"/>
      <c r="C15" s="24" t="s">
        <v>20</v>
      </c>
      <c r="D15" s="27"/>
      <c r="E15" s="8">
        <f>SUM(E13:E14)</f>
        <v>126850</v>
      </c>
      <c r="F15" s="8">
        <f>E15*3</f>
        <v>380550</v>
      </c>
    </row>
    <row r="16" spans="1:6" ht="15.75" x14ac:dyDescent="0.25">
      <c r="A16" s="9"/>
      <c r="B16" s="9"/>
      <c r="C16" s="28" t="s">
        <v>14</v>
      </c>
      <c r="D16" s="29"/>
      <c r="E16" s="7">
        <f>E15*18%</f>
        <v>22833</v>
      </c>
      <c r="F16" s="8">
        <f>F15*18%</f>
        <v>68499</v>
      </c>
    </row>
    <row r="17" spans="1:9" ht="15.75" x14ac:dyDescent="0.25">
      <c r="A17" s="9"/>
      <c r="B17" s="9"/>
      <c r="C17" s="28" t="s">
        <v>15</v>
      </c>
      <c r="D17" s="29"/>
      <c r="E17" s="7">
        <f>SUM(E15:E16)</f>
        <v>149683</v>
      </c>
      <c r="F17" s="8">
        <f>SUM(F15:F16)</f>
        <v>449049</v>
      </c>
    </row>
    <row r="20" spans="1:9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21</v>
      </c>
    </row>
    <row r="21" spans="1:9" ht="15.75" x14ac:dyDescent="0.25">
      <c r="A21" s="9" t="s">
        <v>7</v>
      </c>
      <c r="B21" s="10" t="s">
        <v>33</v>
      </c>
      <c r="C21" s="11">
        <v>1</v>
      </c>
      <c r="D21" s="12">
        <v>10000</v>
      </c>
      <c r="E21" s="13">
        <v>10000</v>
      </c>
      <c r="F21" s="14"/>
      <c r="I21" s="13"/>
    </row>
    <row r="22" spans="1:9" ht="15.75" x14ac:dyDescent="0.25">
      <c r="A22" s="9" t="s">
        <v>8</v>
      </c>
      <c r="B22" s="15" t="s">
        <v>32</v>
      </c>
      <c r="C22" s="11">
        <v>1</v>
      </c>
      <c r="D22" s="12">
        <v>8000</v>
      </c>
      <c r="E22" s="13">
        <v>9000</v>
      </c>
      <c r="F22" s="14"/>
    </row>
    <row r="23" spans="1:9" ht="31.5" x14ac:dyDescent="0.25">
      <c r="A23" s="9" t="s">
        <v>9</v>
      </c>
      <c r="B23" s="16" t="s">
        <v>35</v>
      </c>
      <c r="C23" s="11">
        <v>1</v>
      </c>
      <c r="D23" s="12">
        <v>13600</v>
      </c>
      <c r="E23" s="17">
        <v>14000</v>
      </c>
      <c r="F23" s="14"/>
      <c r="I23" s="17"/>
    </row>
    <row r="24" spans="1:9" ht="15.75" x14ac:dyDescent="0.25">
      <c r="A24" s="9" t="s">
        <v>10</v>
      </c>
      <c r="B24" s="18" t="s">
        <v>24</v>
      </c>
      <c r="C24" s="11">
        <v>1</v>
      </c>
      <c r="D24" s="12">
        <v>2500</v>
      </c>
      <c r="E24" s="17">
        <v>3000</v>
      </c>
      <c r="F24" s="14"/>
      <c r="I24" s="17"/>
    </row>
    <row r="25" spans="1:9" ht="15.75" x14ac:dyDescent="0.25">
      <c r="A25" s="9" t="s">
        <v>11</v>
      </c>
      <c r="B25" s="19" t="s">
        <v>34</v>
      </c>
      <c r="C25" s="11">
        <v>1</v>
      </c>
      <c r="D25" s="12">
        <v>6000</v>
      </c>
      <c r="E25" s="17">
        <v>6000</v>
      </c>
      <c r="F25" s="14"/>
      <c r="I25" s="17"/>
    </row>
    <row r="26" spans="1:9" ht="15.75" x14ac:dyDescent="0.25">
      <c r="A26" s="9" t="s">
        <v>12</v>
      </c>
      <c r="B26" s="16" t="s">
        <v>26</v>
      </c>
      <c r="C26" s="11">
        <v>1</v>
      </c>
      <c r="D26" s="12">
        <v>15000</v>
      </c>
      <c r="E26" s="17">
        <v>15000</v>
      </c>
      <c r="F26" s="14"/>
      <c r="I26" s="13"/>
    </row>
    <row r="27" spans="1:9" ht="15.75" x14ac:dyDescent="0.25">
      <c r="A27" s="9" t="s">
        <v>13</v>
      </c>
      <c r="B27" s="16" t="s">
        <v>36</v>
      </c>
      <c r="C27" s="11">
        <v>1</v>
      </c>
      <c r="D27" s="12">
        <v>7000</v>
      </c>
      <c r="E27" s="20">
        <v>7000</v>
      </c>
      <c r="F27" s="14"/>
      <c r="I27" s="20"/>
    </row>
    <row r="28" spans="1:9" ht="15.75" x14ac:dyDescent="0.25">
      <c r="A28" s="9" t="s">
        <v>18</v>
      </c>
      <c r="B28" s="14" t="s">
        <v>25</v>
      </c>
      <c r="C28" s="11">
        <v>1</v>
      </c>
      <c r="D28" s="21">
        <v>7000</v>
      </c>
      <c r="E28" s="22">
        <v>7000</v>
      </c>
      <c r="F28" s="14"/>
      <c r="I28" s="22"/>
    </row>
    <row r="29" spans="1:9" ht="31.5" x14ac:dyDescent="0.25">
      <c r="A29" s="9" t="s">
        <v>19</v>
      </c>
      <c r="B29" s="19" t="s">
        <v>27</v>
      </c>
      <c r="C29" s="11">
        <v>1</v>
      </c>
      <c r="D29" s="12">
        <v>8500</v>
      </c>
      <c r="E29" s="20">
        <v>9000</v>
      </c>
      <c r="F29" s="14" t="s">
        <v>31</v>
      </c>
      <c r="I29" s="20"/>
    </row>
    <row r="30" spans="1:9" ht="15.75" x14ac:dyDescent="0.25">
      <c r="A30" s="9"/>
      <c r="B30" s="23"/>
      <c r="C30" s="24" t="s">
        <v>17</v>
      </c>
      <c r="D30" s="25"/>
      <c r="E30" s="8">
        <f>SUM(E21:E29)</f>
        <v>80000</v>
      </c>
      <c r="F30" s="8">
        <f>E30*3</f>
        <v>240000</v>
      </c>
      <c r="I30" s="8"/>
    </row>
    <row r="31" spans="1:9" ht="15.75" x14ac:dyDescent="0.25">
      <c r="A31" s="9"/>
      <c r="B31" s="23"/>
      <c r="C31" s="30">
        <v>0.15</v>
      </c>
      <c r="D31" s="25"/>
      <c r="E31" s="26">
        <f>E30*18%</f>
        <v>14400</v>
      </c>
      <c r="F31" s="8">
        <f>E31*3</f>
        <v>43200</v>
      </c>
      <c r="I31" s="8"/>
    </row>
    <row r="32" spans="1:9" ht="15.75" x14ac:dyDescent="0.25">
      <c r="A32" s="9"/>
      <c r="B32" s="9"/>
      <c r="C32" s="24" t="s">
        <v>20</v>
      </c>
      <c r="D32" s="27"/>
      <c r="E32" s="8">
        <f>SUM(E30:E31)</f>
        <v>94400</v>
      </c>
      <c r="F32" s="8">
        <f>E32*3</f>
        <v>283200</v>
      </c>
      <c r="I32" s="8"/>
    </row>
    <row r="33" spans="1:9" ht="15.75" x14ac:dyDescent="0.25">
      <c r="A33" s="9"/>
      <c r="B33" s="9"/>
      <c r="C33" s="28" t="s">
        <v>14</v>
      </c>
      <c r="D33" s="29"/>
      <c r="E33" s="7">
        <f>E32*18%</f>
        <v>16992</v>
      </c>
      <c r="F33" s="8">
        <f>F32*18%</f>
        <v>50976</v>
      </c>
      <c r="I33" s="7"/>
    </row>
    <row r="34" spans="1:9" ht="15.75" x14ac:dyDescent="0.25">
      <c r="A34" s="9"/>
      <c r="B34" s="9"/>
      <c r="C34" s="28" t="s">
        <v>15</v>
      </c>
      <c r="D34" s="29"/>
      <c r="E34" s="7">
        <f>SUM(E32:E33)</f>
        <v>111392</v>
      </c>
      <c r="F34" s="8">
        <f>SUM(F32:F33)</f>
        <v>334176</v>
      </c>
      <c r="I34" s="7"/>
    </row>
    <row r="36" spans="1:9" x14ac:dyDescent="0.25">
      <c r="A36" s="6" t="s">
        <v>3</v>
      </c>
      <c r="B36" s="6" t="s">
        <v>4</v>
      </c>
      <c r="C36" s="6" t="s">
        <v>5</v>
      </c>
      <c r="D36" s="6" t="s">
        <v>16</v>
      </c>
      <c r="E36" s="6" t="s">
        <v>6</v>
      </c>
      <c r="F36" s="6" t="s">
        <v>21</v>
      </c>
    </row>
    <row r="37" spans="1:9" ht="15.75" x14ac:dyDescent="0.25">
      <c r="A37" s="9" t="s">
        <v>7</v>
      </c>
      <c r="B37" s="10" t="s">
        <v>39</v>
      </c>
      <c r="C37" s="11">
        <v>1</v>
      </c>
      <c r="D37" s="12">
        <v>4500</v>
      </c>
      <c r="E37" s="13">
        <v>4600</v>
      </c>
      <c r="F37" s="14" t="s">
        <v>38</v>
      </c>
    </row>
    <row r="38" spans="1:9" ht="31.5" x14ac:dyDescent="0.25">
      <c r="A38" s="9" t="s">
        <v>8</v>
      </c>
      <c r="B38" s="15" t="s">
        <v>37</v>
      </c>
      <c r="C38" s="11">
        <v>1</v>
      </c>
      <c r="D38" s="12">
        <v>9800</v>
      </c>
      <c r="E38" s="13">
        <v>10000</v>
      </c>
      <c r="F38" s="14" t="s">
        <v>38</v>
      </c>
    </row>
    <row r="39" spans="1:9" ht="15.75" x14ac:dyDescent="0.25">
      <c r="A39" s="9" t="s">
        <v>9</v>
      </c>
      <c r="B39" s="16" t="s">
        <v>23</v>
      </c>
      <c r="C39" s="11">
        <v>1</v>
      </c>
      <c r="D39" s="12">
        <v>15500</v>
      </c>
      <c r="E39" s="17">
        <v>16500</v>
      </c>
      <c r="F39" s="14" t="s">
        <v>38</v>
      </c>
    </row>
    <row r="40" spans="1:9" ht="15.75" x14ac:dyDescent="0.25">
      <c r="A40" s="9" t="s">
        <v>10</v>
      </c>
      <c r="B40" s="18" t="s">
        <v>24</v>
      </c>
      <c r="C40" s="11">
        <v>1</v>
      </c>
      <c r="D40" s="12">
        <v>3500</v>
      </c>
      <c r="E40" s="17">
        <v>3500</v>
      </c>
      <c r="F40" s="14" t="s">
        <v>38</v>
      </c>
    </row>
    <row r="41" spans="1:9" ht="15.75" x14ac:dyDescent="0.25">
      <c r="A41" s="9" t="s">
        <v>11</v>
      </c>
      <c r="B41" s="19" t="s">
        <v>34</v>
      </c>
      <c r="C41" s="11">
        <v>1</v>
      </c>
      <c r="D41" s="12">
        <v>11500</v>
      </c>
      <c r="E41" s="17">
        <v>11500</v>
      </c>
      <c r="F41" s="14" t="s">
        <v>38</v>
      </c>
    </row>
    <row r="42" spans="1:9" ht="15.75" x14ac:dyDescent="0.25">
      <c r="A42" s="9" t="s">
        <v>12</v>
      </c>
      <c r="B42" s="16" t="s">
        <v>44</v>
      </c>
      <c r="C42" s="11">
        <v>1</v>
      </c>
      <c r="D42" s="12">
        <v>5200</v>
      </c>
      <c r="E42" s="17">
        <v>5200</v>
      </c>
      <c r="F42" s="14" t="s">
        <v>38</v>
      </c>
    </row>
    <row r="43" spans="1:9" ht="15.75" x14ac:dyDescent="0.25">
      <c r="A43" s="9"/>
      <c r="B43" s="16" t="s">
        <v>43</v>
      </c>
      <c r="C43" s="11">
        <v>1</v>
      </c>
      <c r="D43" s="12">
        <v>10700</v>
      </c>
      <c r="E43" s="17">
        <v>10700</v>
      </c>
      <c r="F43" s="14" t="s">
        <v>38</v>
      </c>
    </row>
    <row r="44" spans="1:9" ht="15.75" x14ac:dyDescent="0.25">
      <c r="A44" s="9" t="s">
        <v>13</v>
      </c>
      <c r="B44" s="16" t="s">
        <v>36</v>
      </c>
      <c r="C44" s="11">
        <v>1</v>
      </c>
      <c r="D44" s="12">
        <v>4000</v>
      </c>
      <c r="E44" s="20">
        <v>4000</v>
      </c>
      <c r="F44" s="14" t="s">
        <v>38</v>
      </c>
    </row>
    <row r="45" spans="1:9" ht="15.75" x14ac:dyDescent="0.25">
      <c r="A45" s="9" t="s">
        <v>18</v>
      </c>
      <c r="B45" s="14" t="s">
        <v>42</v>
      </c>
      <c r="C45" s="11">
        <v>1</v>
      </c>
      <c r="D45" s="21">
        <v>6800</v>
      </c>
      <c r="E45" s="22">
        <v>7000</v>
      </c>
      <c r="F45" s="14" t="s">
        <v>38</v>
      </c>
    </row>
    <row r="46" spans="1:9" ht="16.5" customHeight="1" x14ac:dyDescent="0.25">
      <c r="A46" s="9" t="s">
        <v>19</v>
      </c>
      <c r="B46" s="19" t="s">
        <v>27</v>
      </c>
      <c r="C46" s="11">
        <v>1</v>
      </c>
      <c r="D46" s="12">
        <v>8500</v>
      </c>
      <c r="E46" s="20">
        <v>8500</v>
      </c>
      <c r="F46" s="14" t="s">
        <v>38</v>
      </c>
    </row>
    <row r="47" spans="1:9" ht="16.5" customHeight="1" x14ac:dyDescent="0.25">
      <c r="A47" s="9"/>
      <c r="B47" s="19" t="s">
        <v>41</v>
      </c>
      <c r="C47" s="11">
        <v>1</v>
      </c>
      <c r="D47" s="12">
        <v>610</v>
      </c>
      <c r="E47" s="20">
        <v>700</v>
      </c>
      <c r="F47" s="14" t="s">
        <v>38</v>
      </c>
    </row>
    <row r="48" spans="1:9" ht="16.5" customHeight="1" x14ac:dyDescent="0.25">
      <c r="A48" s="9"/>
      <c r="B48" s="19" t="s">
        <v>40</v>
      </c>
      <c r="C48" s="11">
        <v>1</v>
      </c>
      <c r="D48" s="12">
        <v>11800</v>
      </c>
      <c r="E48" s="20">
        <v>11800</v>
      </c>
      <c r="F48" s="14" t="s">
        <v>38</v>
      </c>
    </row>
    <row r="49" spans="1:6" ht="15.75" x14ac:dyDescent="0.25">
      <c r="A49" s="9"/>
      <c r="B49" s="23"/>
      <c r="C49" s="24" t="s">
        <v>17</v>
      </c>
      <c r="D49" s="25"/>
      <c r="E49" s="8">
        <f>SUM(E37:E48)</f>
        <v>94000</v>
      </c>
      <c r="F49" s="8"/>
    </row>
    <row r="50" spans="1:6" ht="15.75" x14ac:dyDescent="0.25">
      <c r="A50" s="9"/>
      <c r="B50" s="23"/>
      <c r="C50" s="30">
        <v>0.15</v>
      </c>
      <c r="D50" s="25"/>
      <c r="E50" s="26">
        <f>E49*20%</f>
        <v>18800</v>
      </c>
      <c r="F50" s="8"/>
    </row>
    <row r="51" spans="1:6" ht="15.75" x14ac:dyDescent="0.25">
      <c r="A51" s="9"/>
      <c r="B51" s="9"/>
      <c r="C51" s="24" t="s">
        <v>20</v>
      </c>
      <c r="D51" s="27"/>
      <c r="E51" s="8">
        <f>SUM(E49:E50)</f>
        <v>112800</v>
      </c>
      <c r="F51" s="8"/>
    </row>
    <row r="52" spans="1:6" ht="15.75" x14ac:dyDescent="0.25">
      <c r="A52" s="9"/>
      <c r="B52" s="9"/>
      <c r="C52" s="28" t="s">
        <v>14</v>
      </c>
      <c r="D52" s="29"/>
      <c r="E52" s="7">
        <f>E51*18%</f>
        <v>20304</v>
      </c>
      <c r="F52" s="8"/>
    </row>
    <row r="53" spans="1:6" ht="15.75" x14ac:dyDescent="0.25">
      <c r="A53" s="9"/>
      <c r="B53" s="9"/>
      <c r="C53" s="28" t="s">
        <v>15</v>
      </c>
      <c r="D53" s="29"/>
      <c r="E53" s="7">
        <f>SUM(E51:E52)</f>
        <v>133104</v>
      </c>
      <c r="F53" s="8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2026-10-02T14:02:43Z</dcterms:modified>
</cp:coreProperties>
</file>