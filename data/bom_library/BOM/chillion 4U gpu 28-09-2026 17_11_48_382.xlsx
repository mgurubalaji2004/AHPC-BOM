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580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5" i="1" l="1"/>
  <c r="E17" i="1" l="1"/>
  <c r="E18" i="1" s="1"/>
</calcChain>
</file>

<file path=xl/sharedStrings.xml><?xml version="1.0" encoding="utf-8"?>
<sst xmlns="http://schemas.openxmlformats.org/spreadsheetml/2006/main" count="43" uniqueCount="35">
  <si>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</si>
  <si>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</si>
  <si>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</si>
  <si>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</si>
  <si>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</si>
  <si>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</si>
  <si>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</si>
  <si>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</si>
  <si>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</si>
  <si>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</si>
  <si>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</si>
  <si>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</si>
  <si>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</si>
  <si>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</si>
  <si>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</si>
  <si>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</si>
  <si>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</si>
  <si>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</si>
  <si>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</si>
  <si>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</si>
  <si>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 xml:space="preserve">960GB SATA SSD </t>
  </si>
  <si>
    <t>HDD</t>
  </si>
  <si>
    <t>9460-16i</t>
  </si>
  <si>
    <t xml:space="preserve">Raid Controller </t>
  </si>
  <si>
    <t>4U 24-Bay Rack Mountable Chassis  AIC RSC-4ET</t>
  </si>
  <si>
    <t>1200W RPS</t>
  </si>
  <si>
    <t xml:space="preserve">GPU </t>
  </si>
  <si>
    <t>Intel® Xeon® Gold 5318N Processor (24-Cores, Base Freq 2.10GHz, Max Freq 3.40GHz, Cache 36MB)</t>
  </si>
  <si>
    <t>Dynatron N11</t>
  </si>
  <si>
    <t>64GB DDR4 2667MHz</t>
  </si>
  <si>
    <t>MD72-HB2 Intel® C621A Chipset 2 x 10Gb/s LAN ports 2 x 1Gb/s LAN ports 6 x PCIe Gen4 x16 expansion slots 2 x USB 3.2 Gen1 ports (Type-A), 1 x VGA port, 4 x RJ45 ports, 1 x MLAN port</t>
  </si>
  <si>
    <t>NVIDIA RTX Pro 2000 Blackwell  16GB GDDR7</t>
  </si>
  <si>
    <t>24TB SATA HDD</t>
  </si>
  <si>
    <t>Arihant</t>
  </si>
  <si>
    <t>IT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</si>
</sst>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zoomScale="94" zoomScaleNormal="115" workbookViewId="0">
      <selection activeCell="B18" sqref="B18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  <col min="7" max="7" width="18.85546875" customWidth="1"/>
  </cols>
  <sheetData>
    <row r="1" spans="1:7" x14ac:dyDescent="0.25">
      <c r="A1" s="1" t="s">
        <v>0</v>
      </c>
      <c r="B1" s="1"/>
      <c r="C1" s="2"/>
      <c r="D1" s="2"/>
      <c r="E1" s="2"/>
      <c r="F1" s="3"/>
    </row>
    <row r="2" spans="1:7" x14ac:dyDescent="0.25">
      <c r="A2" s="4" t="s">
        <v>1</v>
      </c>
      <c r="B2" s="2"/>
      <c r="C2" s="5" t="s">
        <v>2</v>
      </c>
      <c r="D2" s="29"/>
      <c r="E2" s="30"/>
      <c r="F2" s="3"/>
    </row>
    <row r="3" spans="1:7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7" ht="15.75" x14ac:dyDescent="0.25">
      <c r="A4" s="9" t="s">
        <v>7</v>
      </c>
      <c r="B4" s="10" t="s">
        <v>24</v>
      </c>
      <c r="C4" s="11">
        <v>1</v>
      </c>
      <c r="D4" s="12">
        <v>130000</v>
      </c>
      <c r="E4" s="13">
        <v>130000</v>
      </c>
      <c r="F4" s="14" t="s">
        <v>33</v>
      </c>
    </row>
    <row r="5" spans="1:7" ht="63" x14ac:dyDescent="0.25">
      <c r="A5" s="9" t="s">
        <v>8</v>
      </c>
      <c r="B5" s="15" t="s">
        <v>30</v>
      </c>
      <c r="C5" s="11">
        <v>1</v>
      </c>
      <c r="D5" s="12">
        <v>80000</v>
      </c>
      <c r="E5" s="13">
        <v>80000</v>
      </c>
      <c r="F5" s="14" t="s">
        <v>33</v>
      </c>
    </row>
    <row r="6" spans="1:7" ht="34.5" customHeight="1" x14ac:dyDescent="0.25">
      <c r="A6" s="9" t="s">
        <v>9</v>
      </c>
      <c r="B6" s="16" t="s">
        <v>27</v>
      </c>
      <c r="C6" s="11">
        <v>2</v>
      </c>
      <c r="D6" s="12">
        <v>95000</v>
      </c>
      <c r="E6" s="17">
        <v>190000</v>
      </c>
      <c r="F6" s="14" t="s">
        <v>33</v>
      </c>
    </row>
    <row r="7" spans="1:7" ht="15.75" x14ac:dyDescent="0.25">
      <c r="A7" s="9" t="s">
        <v>10</v>
      </c>
      <c r="B7" s="18" t="s">
        <v>28</v>
      </c>
      <c r="C7" s="11">
        <v>2</v>
      </c>
      <c r="D7" s="12">
        <v>7500</v>
      </c>
      <c r="E7" s="17">
        <v>15000</v>
      </c>
      <c r="F7" s="14" t="s">
        <v>33</v>
      </c>
    </row>
    <row r="8" spans="1:7" ht="15.75" x14ac:dyDescent="0.25">
      <c r="A8" s="9" t="s">
        <v>11</v>
      </c>
      <c r="B8" s="19" t="s">
        <v>29</v>
      </c>
      <c r="C8" s="11">
        <v>2</v>
      </c>
      <c r="D8" s="12">
        <v>110000</v>
      </c>
      <c r="E8" s="17">
        <v>220000</v>
      </c>
      <c r="F8" s="14" t="s">
        <v>33</v>
      </c>
    </row>
    <row r="9" spans="1:7" ht="15.75" x14ac:dyDescent="0.25">
      <c r="A9" s="9" t="s">
        <v>12</v>
      </c>
      <c r="B9" s="16" t="s">
        <v>20</v>
      </c>
      <c r="C9" s="11">
        <v>2</v>
      </c>
      <c r="D9" s="12">
        <v>50000</v>
      </c>
      <c r="E9" s="17">
        <v>100000</v>
      </c>
      <c r="F9" s="14" t="s">
        <v>33</v>
      </c>
    </row>
    <row r="10" spans="1:7" ht="15.75" x14ac:dyDescent="0.25">
      <c r="A10" s="9" t="s">
        <v>21</v>
      </c>
      <c r="B10" s="16" t="s">
        <v>32</v>
      </c>
      <c r="C10" s="11">
        <v>10</v>
      </c>
      <c r="D10" s="12">
        <v>95000</v>
      </c>
      <c r="E10" s="17">
        <f>D10*10</f>
        <v>950000</v>
      </c>
      <c r="F10" s="14" t="s">
        <v>33</v>
      </c>
    </row>
    <row r="11" spans="1:7" ht="15.75" x14ac:dyDescent="0.25">
      <c r="A11" s="9" t="s">
        <v>23</v>
      </c>
      <c r="B11" s="16" t="s">
        <v>22</v>
      </c>
      <c r="C11" s="11">
        <v>1</v>
      </c>
      <c r="D11" s="12">
        <v>80000</v>
      </c>
      <c r="E11" s="17">
        <v>80000</v>
      </c>
      <c r="F11" s="14" t="s">
        <v>33</v>
      </c>
    </row>
    <row r="12" spans="1:7" ht="15.75" x14ac:dyDescent="0.25">
      <c r="A12" s="9" t="s">
        <v>26</v>
      </c>
      <c r="B12" s="16" t="s">
        <v>31</v>
      </c>
      <c r="C12" s="11">
        <v>1</v>
      </c>
      <c r="D12" s="12">
        <v>125000</v>
      </c>
      <c r="E12" s="17">
        <v>125000</v>
      </c>
      <c r="F12" s="14" t="s">
        <v>34</v>
      </c>
    </row>
    <row r="13" spans="1:7" ht="15.75" x14ac:dyDescent="0.25">
      <c r="A13" s="9" t="s">
        <v>13</v>
      </c>
      <c r="B13" s="16" t="s">
        <v>25</v>
      </c>
      <c r="C13" s="11">
        <v>1</v>
      </c>
      <c r="D13" s="12">
        <v>0</v>
      </c>
      <c r="E13" s="20">
        <v>0</v>
      </c>
      <c r="F13" s="14" t="s">
        <v>33</v>
      </c>
    </row>
    <row r="14" spans="1:7" ht="15.75" x14ac:dyDescent="0.25">
      <c r="A14" s="9"/>
      <c r="B14" s="9"/>
      <c r="C14" s="11"/>
      <c r="D14" s="21"/>
      <c r="E14" s="22"/>
      <c r="F14" s="14"/>
    </row>
    <row r="15" spans="1:7" ht="16.149999999999999" customHeight="1" x14ac:dyDescent="0.25">
      <c r="A15" s="9"/>
      <c r="B15" s="23"/>
      <c r="C15" s="24" t="s">
        <v>17</v>
      </c>
      <c r="D15" s="25"/>
      <c r="E15" s="8">
        <f>SUM(E4:E14)</f>
        <v>1890000</v>
      </c>
      <c r="F15" s="14"/>
    </row>
    <row r="16" spans="1:7" ht="18" customHeight="1" x14ac:dyDescent="0.25">
      <c r="A16" s="9"/>
      <c r="B16" s="9"/>
      <c r="C16" s="24" t="s">
        <v>18</v>
      </c>
      <c r="D16" s="26"/>
      <c r="E16" s="8">
        <v>2000000</v>
      </c>
      <c r="F16" s="14"/>
      <c r="G16" s="8"/>
    </row>
    <row r="17" spans="1:7" ht="15.75" x14ac:dyDescent="0.25">
      <c r="A17" s="9"/>
      <c r="B17" s="9"/>
      <c r="C17" s="27" t="s">
        <v>14</v>
      </c>
      <c r="D17" s="28"/>
      <c r="E17" s="7">
        <f>E16*18%</f>
        <v>360000</v>
      </c>
      <c r="F17" s="14"/>
      <c r="G17" s="7"/>
    </row>
    <row r="18" spans="1:7" ht="15.75" x14ac:dyDescent="0.25">
      <c r="A18" s="9"/>
      <c r="B18" s="9"/>
      <c r="C18" s="27" t="s">
        <v>15</v>
      </c>
      <c r="D18" s="28"/>
      <c r="E18" s="7">
        <f>SUM(E16:E17)</f>
        <v>2360000</v>
      </c>
      <c r="F18" s="14"/>
      <c r="G18" s="7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2026-09-21T06:32:21Z</dcterms:modified>
</cp:coreProperties>
</file>