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1" l="1"/>
  <c r="E17" i="1" l="1"/>
  <c r="E20" i="1" s="1"/>
  <c r="E21" i="1" l="1"/>
</calcChain>
</file>

<file path=xl/sharedStrings.xml><?xml version="1.0" encoding="utf-8"?>
<sst xmlns="http://schemas.openxmlformats.org/spreadsheetml/2006/main" count="37" uniqueCount="36">
  <si>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</si>
  <si>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</si>
  <si>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</si>
  <si>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</si>
  <si>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</si>
  <si>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</si>
  <si>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</si>
  <si>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</si>
  <si>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</si>
  <si>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</si>
  <si>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</si>
  <si>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</si>
  <si>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</si>
  <si>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</si>
  <si>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</si>
  <si>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</si>
  <si>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</si>
  <si>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</si>
  <si>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keyboard Mouse</t>
  </si>
  <si>
    <t>Margin-15%</t>
  </si>
  <si>
    <t>From</t>
  </si>
  <si>
    <t>J12</t>
  </si>
  <si>
    <t>64GB DDR5 4800MHz</t>
  </si>
  <si>
    <t>7.68TB NVMe U.3 SSD</t>
  </si>
  <si>
    <t>GPU</t>
  </si>
  <si>
    <t>NVIDIA RTX PRO 6000 Blackwell 96GB GDDR7</t>
  </si>
  <si>
    <t>Network</t>
  </si>
  <si>
    <t>Dual-port 10GbE RJ45 NIC Intel X550-T2/X710-T2</t>
  </si>
  <si>
    <t>AsRock TURIND8X-2T/500W</t>
  </si>
  <si>
    <t>960GB M.2 NVMe SSD</t>
  </si>
  <si>
    <t>TPM 2.0 module</t>
  </si>
  <si>
    <t>R263-ZG2-AAJ3</t>
  </si>
  <si>
    <t>2000W</t>
  </si>
  <si>
    <t>amd 9354</t>
  </si>
  <si>
    <t>9560-8i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</si>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</sst>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zoomScaleNormal="100" workbookViewId="0">
      <selection activeCell="E19" sqref="E19"/>
    </sheetView>
  </sheetViews>
  <sheetFormatPr defaultRowHeight="15" x14ac:dyDescent="0.25"/>
  <cols>
    <col min="1" max="1" width="15.28515625" customWidth="1"/>
    <col min="2" max="2" width="49.285156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/>
      <c r="C2" s="5" t="s">
        <v>2</v>
      </c>
      <c r="D2" s="31"/>
      <c r="E2" s="32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20</v>
      </c>
    </row>
    <row r="4" spans="1:6" ht="15.75" x14ac:dyDescent="0.25">
      <c r="A4" s="9" t="s">
        <v>7</v>
      </c>
      <c r="B4" s="10" t="s">
        <v>31</v>
      </c>
      <c r="C4" s="11">
        <v>1</v>
      </c>
      <c r="D4" s="12"/>
      <c r="E4" s="13">
        <v>500000</v>
      </c>
      <c r="F4" s="14"/>
    </row>
    <row r="5" spans="1:6" ht="15.75" x14ac:dyDescent="0.25">
      <c r="A5" s="9" t="s">
        <v>8</v>
      </c>
      <c r="B5" s="15" t="s">
        <v>28</v>
      </c>
      <c r="C5" s="11">
        <v>1</v>
      </c>
      <c r="D5" s="12">
        <v>110000</v>
      </c>
      <c r="E5" s="13">
        <v>110000</v>
      </c>
      <c r="F5" s="14"/>
    </row>
    <row r="6" spans="1:6" ht="15.75" x14ac:dyDescent="0.25">
      <c r="A6" s="9" t="s">
        <v>9</v>
      </c>
      <c r="B6" s="16" t="s">
        <v>33</v>
      </c>
      <c r="C6" s="11">
        <v>1</v>
      </c>
      <c r="D6" s="12">
        <v>200000</v>
      </c>
      <c r="E6" s="17">
        <v>200000</v>
      </c>
      <c r="F6" s="14"/>
    </row>
    <row r="7" spans="1:6" ht="15.75" x14ac:dyDescent="0.25">
      <c r="A7" s="9" t="s">
        <v>10</v>
      </c>
      <c r="B7" s="18" t="s">
        <v>21</v>
      </c>
      <c r="C7" s="11">
        <v>1</v>
      </c>
      <c r="D7" s="12">
        <v>7500</v>
      </c>
      <c r="E7" s="17">
        <v>7500</v>
      </c>
      <c r="F7" s="14"/>
    </row>
    <row r="8" spans="1:6" ht="15.75" x14ac:dyDescent="0.25">
      <c r="A8" s="9" t="s">
        <v>11</v>
      </c>
      <c r="B8" s="19" t="s">
        <v>22</v>
      </c>
      <c r="C8" s="11">
        <v>2</v>
      </c>
      <c r="D8" s="12">
        <v>210000</v>
      </c>
      <c r="E8" s="17">
        <v>420000</v>
      </c>
      <c r="F8" s="14"/>
    </row>
    <row r="9" spans="1:6" ht="15.75" x14ac:dyDescent="0.25">
      <c r="A9" s="9" t="s">
        <v>12</v>
      </c>
      <c r="B9" s="19" t="s">
        <v>29</v>
      </c>
      <c r="C9" s="11">
        <v>1</v>
      </c>
      <c r="D9" s="12">
        <v>48000</v>
      </c>
      <c r="E9" s="17">
        <v>60000</v>
      </c>
      <c r="F9" s="14"/>
    </row>
    <row r="10" spans="1:6" ht="15.75" x14ac:dyDescent="0.25">
      <c r="A10" s="9" t="s">
        <v>12</v>
      </c>
      <c r="B10" s="16" t="s">
        <v>23</v>
      </c>
      <c r="C10" s="11">
        <v>4</v>
      </c>
      <c r="D10" s="12">
        <v>280000</v>
      </c>
      <c r="E10" s="17">
        <v>1120000</v>
      </c>
      <c r="F10" s="14"/>
    </row>
    <row r="11" spans="1:6" ht="15.75" x14ac:dyDescent="0.25">
      <c r="A11" s="9" t="s">
        <v>24</v>
      </c>
      <c r="B11" s="16" t="s">
        <v>25</v>
      </c>
      <c r="C11" s="11">
        <v>1</v>
      </c>
      <c r="D11" s="12">
        <v>1500000</v>
      </c>
      <c r="E11" s="17">
        <v>1500000</v>
      </c>
      <c r="F11" s="14"/>
    </row>
    <row r="12" spans="1:6" ht="15.75" x14ac:dyDescent="0.25">
      <c r="A12" s="9"/>
      <c r="B12" s="16" t="s">
        <v>34</v>
      </c>
      <c r="C12" s="11">
        <v>1</v>
      </c>
      <c r="D12" s="12"/>
      <c r="E12" s="17">
        <v>200000</v>
      </c>
      <c r="F12" s="14"/>
    </row>
    <row r="13" spans="1:6" ht="15.75" x14ac:dyDescent="0.25">
      <c r="A13" s="9" t="s">
        <v>26</v>
      </c>
      <c r="B13" s="16" t="s">
        <v>27</v>
      </c>
      <c r="C13" s="11">
        <v>1</v>
      </c>
      <c r="D13" s="12"/>
      <c r="E13" s="17">
        <v>25000</v>
      </c>
      <c r="F13" s="14"/>
    </row>
    <row r="14" spans="1:6" ht="15.75" x14ac:dyDescent="0.25">
      <c r="A14" s="9" t="s">
        <v>13</v>
      </c>
      <c r="B14" s="16" t="s">
        <v>32</v>
      </c>
      <c r="C14" s="11">
        <v>1</v>
      </c>
      <c r="D14" s="12"/>
      <c r="E14" s="20"/>
      <c r="F14" s="14"/>
    </row>
    <row r="15" spans="1:6" ht="15.75" x14ac:dyDescent="0.25">
      <c r="A15" s="9"/>
      <c r="B15" s="14" t="s">
        <v>30</v>
      </c>
      <c r="C15" s="11">
        <v>1</v>
      </c>
      <c r="D15" s="21">
        <v>5500</v>
      </c>
      <c r="E15" s="22">
        <v>7500</v>
      </c>
      <c r="F15" s="14"/>
    </row>
    <row r="16" spans="1:6" ht="14.25" customHeight="1" x14ac:dyDescent="0.25">
      <c r="A16" s="9" t="s">
        <v>18</v>
      </c>
      <c r="B16" s="19"/>
      <c r="C16" s="11"/>
      <c r="D16" s="12"/>
      <c r="E16" s="20"/>
      <c r="F16" s="14"/>
    </row>
    <row r="17" spans="1:6" ht="16.149999999999999" customHeight="1" x14ac:dyDescent="0.25">
      <c r="A17" s="9"/>
      <c r="B17" s="23"/>
      <c r="C17" s="24" t="s">
        <v>17</v>
      </c>
      <c r="D17" s="25"/>
      <c r="E17" s="8">
        <f>SUM(E4:E16)</f>
        <v>4150000</v>
      </c>
      <c r="F17" s="14"/>
    </row>
    <row r="18" spans="1:6" ht="16.149999999999999" customHeight="1" x14ac:dyDescent="0.25">
      <c r="A18" s="9"/>
      <c r="B18" s="23"/>
      <c r="C18" s="30">
        <v>0.3</v>
      </c>
      <c r="D18" s="25"/>
      <c r="E18" s="26">
        <f>E17*15%</f>
        <v>622500</v>
      </c>
      <c r="F18" s="14"/>
    </row>
    <row r="19" spans="1:6" ht="18" customHeight="1" x14ac:dyDescent="0.25">
      <c r="A19" s="9"/>
      <c r="B19" s="9"/>
      <c r="C19" s="24" t="s">
        <v>19</v>
      </c>
      <c r="D19" s="27"/>
      <c r="E19" s="8" t="s">
        <v>35</v>
      </c>
      <c r="F19" s="14"/>
    </row>
    <row r="20" spans="1:6" ht="15.75" x14ac:dyDescent="0.25">
      <c r="A20" s="9"/>
      <c r="B20" s="9"/>
      <c r="C20" s="28" t="s">
        <v>14</v>
      </c>
      <c r="D20" s="29"/>
      <c r="E20" s="7" t="e">
        <f>E19*18%</f>
        <v>#VALUE!</v>
      </c>
      <c r="F20" s="14"/>
    </row>
    <row r="21" spans="1:6" ht="15.75" x14ac:dyDescent="0.25">
      <c r="A21" s="9"/>
      <c r="B21" s="9"/>
      <c r="C21" s="28" t="s">
        <v>15</v>
      </c>
      <c r="D21" s="29"/>
      <c r="E21" s="7">
        <f>SUM(E17:E18)</f>
        <v>4772500</v>
      </c>
      <c r="F21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2026-08-22T14:21:35Z</dcterms:modified>
</cp:coreProperties>
</file>