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3420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9" i="1"/>
  <c r="E8" i="1"/>
  <c r="E15" i="1" l="1"/>
  <c r="E16" i="1" s="1"/>
  <c r="E17" i="1" l="1"/>
  <c r="E18" i="1" l="1"/>
  <c r="E19" i="1" s="1"/>
</calcChain>
</file>

<file path=xl/sharedStrings.xml><?xml version="1.0" encoding="utf-8"?>
<sst xmlns="http://schemas.openxmlformats.org/spreadsheetml/2006/main" count="44" uniqueCount="37">
  <si>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</si>
  <si>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</si>
  <si>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</si>
  <si>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</si>
  <si>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</si>
  <si>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</si>
  <si>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</si>
  <si>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</si>
  <si>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</si>
  <si>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</si>
  <si>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</si>
  <si>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</si>
  <si>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</si>
  <si>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</si>
  <si>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</si>
  <si>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</si>
  <si>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</si>
  <si>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</si>
  <si>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</si>
  <si>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</si>
  <si>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</si>
  <si>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saravana</t>
  </si>
  <si>
    <t>Arihant</t>
  </si>
  <si>
    <t>64GB DDR5 4800MHz</t>
  </si>
  <si>
    <t>1.92TB U.2 NVMe SSD</t>
  </si>
  <si>
    <t>NVIDIA RTX Pro 6000 Blackwell Max-Q Edition</t>
  </si>
  <si>
    <t>Barebone</t>
  </si>
  <si>
    <t>3200W RPS</t>
  </si>
  <si>
    <t xml:space="preserve">9560-16i </t>
  </si>
  <si>
    <t>RAID</t>
  </si>
  <si>
    <t>4U Rack Mountable Chassis 8-GPU</t>
  </si>
  <si>
    <t>Wired Keyboard and Mouse Combo</t>
  </si>
  <si>
    <t>IT Gear</t>
  </si>
  <si>
    <t>AMD EPYC™ 9354 (32-Cores, Base Freq 3.25GHz, Max Freq 3.80GHz, Cache 256MB)</t>
  </si>
  <si>
    <t>Dual 10GbE Network Adapter</t>
  </si>
  <si>
    <t>Shenzhen Gooxi Digital Intelligence Technology Co., Ltd.</t>
  </si>
  <si>
    <t>https://www.gooxi.us/ProductList/info_lcid_60_itemid_2972.html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</si>
</sst>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xi.us/ProductList/info_lcid_60_itemid_2972.html" TargetMode="External"/><Relationship Id="rId1" Type="http://schemas.openxmlformats.org/officeDocument/2006/relationships/hyperlink" Target="https://www.gooxi.us/ProductList/info_lcid_60_itemid_297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112" zoomScaleNormal="175" workbookViewId="0">
      <selection activeCell="C10" sqref="C1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30</v>
      </c>
      <c r="C4" s="11">
        <v>1</v>
      </c>
      <c r="D4" s="12">
        <v>1100000</v>
      </c>
      <c r="E4" s="13">
        <v>1100000</v>
      </c>
      <c r="F4" s="14" t="s">
        <v>21</v>
      </c>
    </row>
    <row r="5" spans="1:6" ht="15.75" x14ac:dyDescent="0.25">
      <c r="A5" s="9" t="s">
        <v>8</v>
      </c>
      <c r="B5" s="15" t="s">
        <v>26</v>
      </c>
      <c r="C5" s="11">
        <v>1</v>
      </c>
      <c r="D5" s="12">
        <v>0</v>
      </c>
      <c r="E5" s="13">
        <v>0</v>
      </c>
      <c r="F5" s="14"/>
    </row>
    <row r="6" spans="1:6" ht="34.5" customHeight="1" x14ac:dyDescent="0.25">
      <c r="A6" s="9" t="s">
        <v>9</v>
      </c>
      <c r="B6" s="16" t="s">
        <v>33</v>
      </c>
      <c r="C6" s="11">
        <v>2</v>
      </c>
      <c r="D6" s="12">
        <v>165000</v>
      </c>
      <c r="E6" s="17">
        <f>D6*2</f>
        <v>330000</v>
      </c>
      <c r="F6" s="14" t="s">
        <v>22</v>
      </c>
    </row>
    <row r="7" spans="1:6" ht="15.75" x14ac:dyDescent="0.25">
      <c r="A7" s="9" t="s">
        <v>10</v>
      </c>
      <c r="B7" s="18" t="s">
        <v>26</v>
      </c>
      <c r="C7" s="11">
        <v>2</v>
      </c>
      <c r="D7" s="12">
        <v>0</v>
      </c>
      <c r="E7" s="17">
        <v>0</v>
      </c>
      <c r="F7" s="14" t="s">
        <v>22</v>
      </c>
    </row>
    <row r="8" spans="1:6" ht="15.75" x14ac:dyDescent="0.25">
      <c r="A8" s="9" t="s">
        <v>11</v>
      </c>
      <c r="B8" s="19" t="s">
        <v>23</v>
      </c>
      <c r="C8" s="11">
        <v>8</v>
      </c>
      <c r="D8" s="12">
        <v>225000</v>
      </c>
      <c r="E8" s="17">
        <f>D8*8</f>
        <v>1800000</v>
      </c>
      <c r="F8" s="14" t="s">
        <v>22</v>
      </c>
    </row>
    <row r="9" spans="1:6" ht="15.75" x14ac:dyDescent="0.25">
      <c r="A9" s="9" t="s">
        <v>12</v>
      </c>
      <c r="B9" s="16" t="s">
        <v>24</v>
      </c>
      <c r="C9" s="11">
        <v>2</v>
      </c>
      <c r="D9" s="12">
        <v>89000</v>
      </c>
      <c r="E9" s="17">
        <f>D9*2</f>
        <v>178000</v>
      </c>
      <c r="F9" s="14" t="s">
        <v>22</v>
      </c>
    </row>
    <row r="10" spans="1:6" ht="15.75" x14ac:dyDescent="0.25">
      <c r="A10" s="9" t="s">
        <v>20</v>
      </c>
      <c r="B10" s="16" t="s">
        <v>25</v>
      </c>
      <c r="C10" s="11">
        <v>1</v>
      </c>
      <c r="D10" s="12">
        <v>1800000</v>
      </c>
      <c r="E10" s="17">
        <v>1800000</v>
      </c>
      <c r="F10" s="14" t="s">
        <v>22</v>
      </c>
    </row>
    <row r="11" spans="1:6" ht="15.75" x14ac:dyDescent="0.25">
      <c r="A11" s="9" t="s">
        <v>13</v>
      </c>
      <c r="B11" s="16" t="s">
        <v>27</v>
      </c>
      <c r="C11" s="11">
        <v>1</v>
      </c>
      <c r="D11" s="12">
        <v>45000</v>
      </c>
      <c r="E11" s="20">
        <v>45000</v>
      </c>
      <c r="F11" s="14" t="s">
        <v>22</v>
      </c>
    </row>
    <row r="12" spans="1:6" ht="15.75" x14ac:dyDescent="0.25">
      <c r="A12" s="9" t="s">
        <v>29</v>
      </c>
      <c r="B12" s="14" t="s">
        <v>28</v>
      </c>
      <c r="C12" s="11">
        <v>1</v>
      </c>
      <c r="D12" s="21">
        <v>210000</v>
      </c>
      <c r="E12" s="22">
        <v>210000</v>
      </c>
      <c r="F12" s="14" t="s">
        <v>22</v>
      </c>
    </row>
    <row r="13" spans="1:6" ht="15.75" x14ac:dyDescent="0.25">
      <c r="A13" s="9"/>
      <c r="B13" s="14" t="s">
        <v>34</v>
      </c>
      <c r="C13" s="11">
        <v>1</v>
      </c>
      <c r="D13" s="21">
        <v>35000</v>
      </c>
      <c r="E13" s="22">
        <v>35000</v>
      </c>
      <c r="F13" s="14"/>
    </row>
    <row r="14" spans="1:6" ht="14.25" customHeight="1" x14ac:dyDescent="0.25">
      <c r="A14" s="9"/>
      <c r="B14" s="19" t="s">
        <v>31</v>
      </c>
      <c r="C14" s="11">
        <v>1</v>
      </c>
      <c r="D14" s="12">
        <v>1000</v>
      </c>
      <c r="E14" s="20">
        <v>1000</v>
      </c>
      <c r="F14" s="14" t="s">
        <v>32</v>
      </c>
    </row>
    <row r="15" spans="1:6" ht="16.149999999999999" customHeight="1" x14ac:dyDescent="0.25">
      <c r="A15" s="9"/>
      <c r="B15" s="23"/>
      <c r="C15" s="24" t="s">
        <v>17</v>
      </c>
      <c r="D15" s="25"/>
      <c r="E15" s="8">
        <f>SUM(E4:E14)</f>
        <v>5499000</v>
      </c>
      <c r="F15" s="14"/>
    </row>
    <row r="16" spans="1:6" ht="16.149999999999999" customHeight="1" x14ac:dyDescent="0.25">
      <c r="A16" s="9"/>
      <c r="B16" s="23"/>
      <c r="C16" s="30">
        <v>0.15</v>
      </c>
      <c r="D16" s="25"/>
      <c r="E16" s="26">
        <f>E15*15%</f>
        <v>824850</v>
      </c>
      <c r="F16" s="14"/>
    </row>
    <row r="17" spans="1:6" ht="18" customHeight="1" x14ac:dyDescent="0.25">
      <c r="A17" s="9"/>
      <c r="B17" s="9"/>
      <c r="C17" s="24" t="s">
        <v>18</v>
      </c>
      <c r="D17" s="27"/>
      <c r="E17" s="8">
        <f>SUM(E15:E16)</f>
        <v>6323850</v>
      </c>
      <c r="F17" s="14"/>
    </row>
    <row r="18" spans="1:6" ht="15.75" x14ac:dyDescent="0.25">
      <c r="A18" s="9"/>
      <c r="B18" s="9"/>
      <c r="C18" s="28" t="s">
        <v>14</v>
      </c>
      <c r="D18" s="29"/>
      <c r="E18" s="7">
        <f>E17*18%</f>
        <v>1138293</v>
      </c>
      <c r="F18" s="14"/>
    </row>
    <row r="19" spans="1:6" ht="15.75" x14ac:dyDescent="0.25">
      <c r="A19" s="9"/>
      <c r="B19" s="9"/>
      <c r="C19" s="28" t="s">
        <v>15</v>
      </c>
      <c r="D19" s="29"/>
      <c r="E19" s="7">
        <f>SUM(E17:E18)</f>
        <v>7462143</v>
      </c>
      <c r="F19" s="14"/>
    </row>
    <row r="20" spans="1:6" x14ac:dyDescent="0.25">
      <c r="B20" s="33" t="s">
        <v>36</v>
      </c>
    </row>
    <row r="21" spans="1:6" x14ac:dyDescent="0.25">
      <c r="B21" s="33" t="s">
        <v>35</v>
      </c>
    </row>
  </sheetData>
  <mergeCells count="1">
    <mergeCell ref="D2:E2"/>
  </mergeCells>
  <hyperlinks>
    <hyperlink ref="B21" r:id="rId1" display="https://www.gooxi.us/ProductList/info_lcid_60_itemid_2972.html"/>
    <hyperlink ref="B2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2026-09-16T11:13:36Z</dcterms:modified>
</cp:coreProperties>
</file>