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0595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15" i="1" l="1"/>
  <c r="E16" i="1" l="1"/>
  <c r="E17" i="1" s="1"/>
  <c r="E18" i="1" s="1"/>
  <c r="E19" i="1" s="1"/>
</calcChain>
</file>

<file path=xl/sharedStrings.xml><?xml version="1.0" encoding="utf-8"?>
<sst xmlns="http://schemas.openxmlformats.org/spreadsheetml/2006/main" count="34" uniqueCount="34">
  <si>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</si>
  <si>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</si>
  <si>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</si>
  <si>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</si>
  <si>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</si>
  <si>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</si>
  <si>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</si>
  <si>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</si>
  <si>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</si>
  <si>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</si>
  <si>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</si>
  <si>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</si>
  <si>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</si>
  <si>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</si>
  <si>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</si>
  <si>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</si>
  <si>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</si>
  <si>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</si>
  <si>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Monitor</t>
  </si>
  <si>
    <t>keyboard Mouse</t>
  </si>
  <si>
    <t>Margin-15%</t>
  </si>
  <si>
    <t>From</t>
  </si>
  <si>
    <t>HDD</t>
  </si>
  <si>
    <t>GPU</t>
  </si>
  <si>
    <t>Wired Keyboard and mouse combo</t>
  </si>
  <si>
    <t xml:space="preserve">27" Monitor </t>
  </si>
  <si>
    <t>2TB M.2 NVMe SSD</t>
  </si>
  <si>
    <t>64GB DDR5 4800MHz ECC</t>
  </si>
  <si>
    <t xml:space="preserve">Intel® Xeon® W5-3433 (16-Cores, Base Freq 2.00GHz, Max Freq 4.20GHz, Cache 45MB) </t>
  </si>
  <si>
    <t>Dynatron S6</t>
  </si>
  <si>
    <t xml:space="preserve"> MW53-HP0   4 x PCIe Gen5 x16 expansion slots  1 x PCIe Gen3 x4 expansion slot  8 x DIMMs  2 x 2.5Gb/s LAN   1 x USB 3.2 Gen2x2 port (Type-C), 5 x USB 3.2 Gen2x1 ports (Type-A)  Intel® W790 Chipset</t>
  </si>
  <si>
    <t xml:space="preserve">1500W ATX </t>
  </si>
  <si>
    <t>Cooler master with CD Drive</t>
  </si>
  <si>
    <t>NVIDIA RTX 4000 Blackwell 16GB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</si>
</sst>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zoomScale="105" zoomScaleNormal="130" workbookViewId="0">
      <selection activeCell="D13" sqref="D13"/>
    </sheetView>
  </sheetViews>
  <sheetFormatPr defaultRowHeight="15" x14ac:dyDescent="0.25"/>
  <cols>
    <col min="1" max="1" width="15.28515625" customWidth="1"/>
    <col min="2" max="2" width="58.8554687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7" x14ac:dyDescent="0.25">
      <c r="A1" s="1" t="s">
        <v>0</v>
      </c>
      <c r="B1" s="1"/>
      <c r="C1" s="2"/>
      <c r="D1" s="2"/>
      <c r="E1" s="2"/>
      <c r="F1" s="3"/>
    </row>
    <row r="2" spans="1:7" x14ac:dyDescent="0.25">
      <c r="A2" s="4" t="s">
        <v>1</v>
      </c>
      <c r="B2" s="2"/>
      <c r="C2" s="5" t="s">
        <v>2</v>
      </c>
      <c r="D2" s="31"/>
      <c r="E2" s="32"/>
      <c r="F2" s="3"/>
    </row>
    <row r="3" spans="1:7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21</v>
      </c>
    </row>
    <row r="4" spans="1:7" ht="15.75" x14ac:dyDescent="0.25">
      <c r="A4" s="9" t="s">
        <v>7</v>
      </c>
      <c r="B4" s="10" t="s">
        <v>32</v>
      </c>
      <c r="C4" s="11">
        <v>1</v>
      </c>
      <c r="D4" s="12">
        <v>5000</v>
      </c>
      <c r="E4" s="13">
        <v>5000</v>
      </c>
      <c r="F4" s="14"/>
    </row>
    <row r="5" spans="1:7" ht="63" x14ac:dyDescent="0.25">
      <c r="A5" s="9" t="s">
        <v>8</v>
      </c>
      <c r="B5" s="15" t="s">
        <v>30</v>
      </c>
      <c r="C5" s="11">
        <v>1</v>
      </c>
      <c r="D5" s="12">
        <v>60300</v>
      </c>
      <c r="E5" s="13">
        <v>60500</v>
      </c>
      <c r="F5" s="14"/>
      <c r="G5">
        <v>400</v>
      </c>
    </row>
    <row r="6" spans="1:7" ht="31.5" x14ac:dyDescent="0.25">
      <c r="A6" s="9" t="s">
        <v>9</v>
      </c>
      <c r="B6" s="16" t="s">
        <v>28</v>
      </c>
      <c r="C6" s="11">
        <v>1</v>
      </c>
      <c r="D6" s="12">
        <v>171000</v>
      </c>
      <c r="E6" s="17">
        <v>171000</v>
      </c>
      <c r="F6" s="14"/>
      <c r="G6">
        <v>270</v>
      </c>
    </row>
    <row r="7" spans="1:7" ht="15.75" x14ac:dyDescent="0.25">
      <c r="A7" s="9" t="s">
        <v>10</v>
      </c>
      <c r="B7" s="18" t="s">
        <v>29</v>
      </c>
      <c r="C7" s="11">
        <v>1</v>
      </c>
      <c r="D7" s="12">
        <v>7500</v>
      </c>
      <c r="E7" s="17">
        <v>7500</v>
      </c>
      <c r="F7" s="14"/>
    </row>
    <row r="8" spans="1:7" ht="15.75" x14ac:dyDescent="0.25">
      <c r="A8" s="9" t="s">
        <v>11</v>
      </c>
      <c r="B8" s="19" t="s">
        <v>27</v>
      </c>
      <c r="C8" s="11">
        <v>4</v>
      </c>
      <c r="D8" s="12">
        <v>225000</v>
      </c>
      <c r="E8" s="17">
        <f>D8*4</f>
        <v>900000</v>
      </c>
      <c r="F8" s="14"/>
    </row>
    <row r="9" spans="1:7" ht="15.75" x14ac:dyDescent="0.25">
      <c r="A9" s="9" t="s">
        <v>12</v>
      </c>
      <c r="B9" s="16" t="s">
        <v>26</v>
      </c>
      <c r="C9" s="11">
        <v>2</v>
      </c>
      <c r="D9" s="12">
        <v>28000</v>
      </c>
      <c r="E9" s="17">
        <v>28000</v>
      </c>
      <c r="F9" s="14"/>
    </row>
    <row r="10" spans="1:7" ht="15.75" x14ac:dyDescent="0.25">
      <c r="A10" s="9" t="s">
        <v>22</v>
      </c>
      <c r="B10" s="16"/>
      <c r="C10" s="11"/>
      <c r="D10" s="12"/>
      <c r="E10" s="17"/>
      <c r="F10" s="14"/>
    </row>
    <row r="11" spans="1:7" ht="15.75" x14ac:dyDescent="0.25">
      <c r="A11" s="9" t="s">
        <v>13</v>
      </c>
      <c r="B11" s="16" t="s">
        <v>31</v>
      </c>
      <c r="C11" s="11">
        <v>1</v>
      </c>
      <c r="D11" s="12">
        <v>30000</v>
      </c>
      <c r="E11" s="20">
        <v>30000</v>
      </c>
      <c r="F11" s="14"/>
    </row>
    <row r="12" spans="1:7" ht="15.75" x14ac:dyDescent="0.25">
      <c r="A12" s="9" t="s">
        <v>23</v>
      </c>
      <c r="B12" s="14" t="s">
        <v>33</v>
      </c>
      <c r="C12" s="11">
        <v>1</v>
      </c>
      <c r="D12" s="21">
        <v>275000</v>
      </c>
      <c r="E12" s="22">
        <v>275000</v>
      </c>
      <c r="F12" s="14"/>
    </row>
    <row r="13" spans="1:7" ht="14.25" customHeight="1" x14ac:dyDescent="0.25">
      <c r="A13" s="9" t="s">
        <v>19</v>
      </c>
      <c r="B13" s="19" t="s">
        <v>24</v>
      </c>
      <c r="C13" s="11">
        <v>1</v>
      </c>
      <c r="D13" s="12">
        <v>1500</v>
      </c>
      <c r="E13" s="20">
        <v>1500</v>
      </c>
      <c r="F13" s="14"/>
    </row>
    <row r="14" spans="1:7" ht="14.25" customHeight="1" x14ac:dyDescent="0.25">
      <c r="A14" s="9" t="s">
        <v>18</v>
      </c>
      <c r="B14" s="19" t="s">
        <v>25</v>
      </c>
      <c r="C14" s="11">
        <v>1</v>
      </c>
      <c r="D14" s="12">
        <v>10000</v>
      </c>
      <c r="E14" s="20">
        <v>10000</v>
      </c>
      <c r="F14" s="14"/>
    </row>
    <row r="15" spans="1:7" ht="16.149999999999999" customHeight="1" x14ac:dyDescent="0.25">
      <c r="A15" s="9"/>
      <c r="B15" s="23"/>
      <c r="C15" s="24" t="s">
        <v>17</v>
      </c>
      <c r="D15" s="25"/>
      <c r="E15" s="8">
        <f>SUM(E4:E13)</f>
        <v>1478500</v>
      </c>
      <c r="F15" s="14"/>
    </row>
    <row r="16" spans="1:7" ht="16.149999999999999" customHeight="1" x14ac:dyDescent="0.25">
      <c r="A16" s="9"/>
      <c r="B16" s="23"/>
      <c r="C16" s="30">
        <v>0.15</v>
      </c>
      <c r="D16" s="25"/>
      <c r="E16" s="26">
        <f>E15*18%</f>
        <v>266130</v>
      </c>
      <c r="F16" s="14"/>
    </row>
    <row r="17" spans="1:6" ht="18" customHeight="1" x14ac:dyDescent="0.25">
      <c r="A17" s="9"/>
      <c r="B17" s="9"/>
      <c r="C17" s="24" t="s">
        <v>20</v>
      </c>
      <c r="D17" s="27"/>
      <c r="E17" s="8">
        <f>SUM(E15:E16)</f>
        <v>1744630</v>
      </c>
      <c r="F17" s="14"/>
    </row>
    <row r="18" spans="1:6" ht="15.75" x14ac:dyDescent="0.25">
      <c r="A18" s="9"/>
      <c r="B18" s="9"/>
      <c r="C18" s="28" t="s">
        <v>14</v>
      </c>
      <c r="D18" s="29"/>
      <c r="E18" s="7">
        <f>E17*18%</f>
        <v>314033.39999999997</v>
      </c>
      <c r="F18" s="14"/>
    </row>
    <row r="19" spans="1:6" ht="15.75" x14ac:dyDescent="0.25">
      <c r="A19" s="9"/>
      <c r="B19" s="9"/>
      <c r="C19" s="28" t="s">
        <v>15</v>
      </c>
      <c r="D19" s="29"/>
      <c r="E19" s="7">
        <f>SUM(E17:E18)</f>
        <v>2058663.4</v>
      </c>
      <c r="F19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2026-09-08T07:18:49Z</dcterms:modified>
</cp:coreProperties>
</file>