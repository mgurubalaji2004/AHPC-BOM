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ADMIN\Documents\BOM\"/>
    </mc:Choice>
  </mc:AlternateContent>
  <bookViews>
    <workbookView xWindow="-105" yWindow="-105" windowWidth="23250" windowHeight="1302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14" i="1" l="1"/>
  <c r="E8" i="1" l="1"/>
  <c r="E13" i="1" l="1"/>
  <c r="E15" i="1" l="1"/>
  <c r="E16" i="1" l="1"/>
  <c r="E17" i="1" s="1"/>
</calcChain>
</file>

<file path=xl/sharedStrings.xml><?xml version="1.0" encoding="utf-8"?>
<sst xmlns="http://schemas.openxmlformats.org/spreadsheetml/2006/main" count="27" uniqueCount="27">
  <si>
    <t>Quatation No</t>
  </si>
  <si>
    <t xml:space="preserve">Customer </t>
  </si>
  <si>
    <t xml:space="preserve">Date </t>
  </si>
  <si>
    <t>Components</t>
  </si>
  <si>
    <t>Model</t>
  </si>
  <si>
    <t xml:space="preserve">Quantity </t>
  </si>
  <si>
    <t>Rate</t>
  </si>
  <si>
    <t>Chassis</t>
  </si>
  <si>
    <t>Motherboard</t>
  </si>
  <si>
    <t>CPU</t>
  </si>
  <si>
    <t>Heatsink</t>
  </si>
  <si>
    <t>Memory</t>
  </si>
  <si>
    <t>SSD</t>
  </si>
  <si>
    <t>power supply</t>
  </si>
  <si>
    <t>GST -18%</t>
  </si>
  <si>
    <t>Total Price</t>
  </si>
  <si>
    <t>Unit Prize</t>
  </si>
  <si>
    <t>Sub Total</t>
  </si>
  <si>
    <t>Margin-15%</t>
  </si>
  <si>
    <t>From</t>
  </si>
  <si>
    <t>32GB DDR4 ECC 2666MHz</t>
  </si>
  <si>
    <t xml:space="preserve">650W ATX </t>
  </si>
  <si>
    <t>Supermicro X11SPL-F</t>
  </si>
  <si>
    <t>B11</t>
  </si>
  <si>
    <t>Intel® Xeon® Platinum 8160 Processor (Cores)</t>
  </si>
  <si>
    <t>12TB SATA HDD WD ultrastar</t>
  </si>
  <si>
    <t>tower chassis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</si>
</sst>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2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AAECC6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2" borderId="1" xfId="0" applyFont="1" applyFill="1" applyBorder="1" applyAlignment="1">
      <alignment horizontal="right" vertical="top" wrapText="1"/>
    </xf>
    <xf numFmtId="0" fontId="0" fillId="0" borderId="1" xfId="0" applyFont="1" applyBorder="1" applyAlignment="1">
      <alignment wrapText="1"/>
    </xf>
    <xf numFmtId="0" fontId="0" fillId="0" borderId="1" xfId="0" applyFont="1" applyBorder="1"/>
    <xf numFmtId="0" fontId="3" fillId="3" borderId="1" xfId="0" applyFont="1" applyFill="1" applyBorder="1" applyAlignment="1">
      <alignment vertical="top" wrapText="1"/>
    </xf>
    <xf numFmtId="0" fontId="0" fillId="3" borderId="1" xfId="0" applyFont="1" applyFill="1" applyBorder="1" applyAlignment="1">
      <alignment vertical="top" wrapText="1"/>
    </xf>
    <xf numFmtId="0" fontId="0" fillId="4" borderId="1" xfId="0" applyFont="1" applyFill="1" applyBorder="1" applyAlignment="1">
      <alignment vertical="top" wrapText="1"/>
    </xf>
    <xf numFmtId="4" fontId="2" fillId="0" borderId="1" xfId="0" applyNumberFormat="1" applyFont="1" applyBorder="1" applyAlignment="1">
      <alignment horizontal="right"/>
    </xf>
    <xf numFmtId="4" fontId="4" fillId="0" borderId="1" xfId="0" applyNumberFormat="1" applyFont="1" applyBorder="1" applyAlignment="1">
      <alignment horizontal="right"/>
    </xf>
    <xf numFmtId="0" fontId="4" fillId="0" borderId="1" xfId="0" applyFont="1" applyBorder="1" applyAlignment="1">
      <alignment wrapText="1"/>
    </xf>
    <xf numFmtId="0" fontId="4" fillId="0" borderId="1" xfId="0" applyFont="1" applyBorder="1" applyAlignment="1">
      <alignment vertical="center" wrapText="1"/>
    </xf>
    <xf numFmtId="0" fontId="4" fillId="0" borderId="1" xfId="0" applyFont="1" applyBorder="1" applyAlignment="1">
      <alignment horizontal="center" wrapText="1"/>
    </xf>
    <xf numFmtId="3" fontId="4" fillId="0" borderId="1" xfId="0" applyNumberFormat="1" applyFont="1" applyBorder="1" applyAlignment="1">
      <alignment horizontal="center" vertical="center" wrapText="1"/>
    </xf>
    <xf numFmtId="3" fontId="4" fillId="0" borderId="1" xfId="0" applyNumberFormat="1" applyFont="1" applyBorder="1" applyAlignment="1">
      <alignment vertical="center" readingOrder="1"/>
    </xf>
    <xf numFmtId="0" fontId="4" fillId="0" borderId="1" xfId="0" applyFont="1" applyBorder="1"/>
    <xf numFmtId="0" fontId="4" fillId="0" borderId="0" xfId="0" applyFont="1" applyAlignment="1">
      <alignment horizontal="left" vertical="center" wrapText="1"/>
    </xf>
    <xf numFmtId="0" fontId="4" fillId="0" borderId="1" xfId="0" applyFont="1" applyBorder="1" applyAlignment="1">
      <alignment vertical="top" wrapText="1"/>
    </xf>
    <xf numFmtId="3" fontId="4" fillId="0" borderId="1" xfId="0" applyNumberFormat="1" applyFont="1" applyBorder="1" applyAlignment="1">
      <alignment horizontal="right" readingOrder="1"/>
    </xf>
    <xf numFmtId="0" fontId="4" fillId="0" borderId="0" xfId="0" applyFont="1"/>
    <xf numFmtId="0" fontId="4" fillId="0" borderId="1" xfId="0" applyFont="1" applyBorder="1" applyAlignment="1">
      <alignment vertical="top"/>
    </xf>
    <xf numFmtId="3" fontId="4" fillId="0" borderId="1" xfId="0" applyNumberFormat="1" applyFont="1" applyBorder="1" applyAlignment="1">
      <alignment horizontal="right" wrapText="1"/>
    </xf>
    <xf numFmtId="3" fontId="4" fillId="0" borderId="1" xfId="0" applyNumberFormat="1" applyFont="1" applyBorder="1" applyAlignment="1">
      <alignment horizontal="center" vertical="center"/>
    </xf>
    <xf numFmtId="3" fontId="4" fillId="0" borderId="1" xfId="0" applyNumberFormat="1" applyFont="1" applyBorder="1" applyAlignment="1">
      <alignment horizontal="right"/>
    </xf>
    <xf numFmtId="0" fontId="2" fillId="0" borderId="1" xfId="0" applyFont="1" applyBorder="1" applyAlignment="1">
      <alignment vertical="top" wrapText="1"/>
    </xf>
    <xf numFmtId="0" fontId="4" fillId="4" borderId="1" xfId="0" applyFont="1" applyFill="1" applyBorder="1" applyAlignment="1">
      <alignment wrapText="1"/>
    </xf>
    <xf numFmtId="4" fontId="4" fillId="0" borderId="1" xfId="0" applyNumberFormat="1" applyFont="1" applyBorder="1" applyAlignment="1">
      <alignment horizontal="center" wrapText="1"/>
    </xf>
    <xf numFmtId="4" fontId="4" fillId="0" borderId="0" xfId="0" applyNumberFormat="1" applyFont="1" applyAlignment="1">
      <alignment horizontal="right"/>
    </xf>
    <xf numFmtId="4" fontId="4" fillId="0" borderId="1" xfId="0" applyNumberFormat="1" applyFont="1" applyBorder="1" applyAlignment="1">
      <alignment horizontal="center"/>
    </xf>
    <xf numFmtId="0" fontId="4" fillId="4" borderId="1" xfId="0" applyFont="1" applyFill="1" applyBorder="1" applyAlignment="1">
      <alignment vertical="top" wrapText="1"/>
    </xf>
    <xf numFmtId="4" fontId="4" fillId="5" borderId="1" xfId="0" applyNumberFormat="1" applyFont="1" applyFill="1" applyBorder="1" applyAlignment="1">
      <alignment horizontal="center" vertical="top" wrapText="1"/>
    </xf>
    <xf numFmtId="9" fontId="4" fillId="4" borderId="1" xfId="0" applyNumberFormat="1" applyFont="1" applyFill="1" applyBorder="1" applyAlignment="1">
      <alignment wrapText="1"/>
    </xf>
    <xf numFmtId="14" fontId="0" fillId="0" borderId="2" xfId="0" applyNumberFormat="1" applyFont="1" applyBorder="1" applyAlignment="1">
      <alignment horizontal="center" wrapText="1"/>
    </xf>
    <xf numFmtId="14" fontId="0" fillId="0" borderId="3" xfId="0" applyNumberFormat="1" applyFont="1" applyBorder="1" applyAlignment="1">
      <alignment horizontal="center" wrapText="1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7"/>
  <sheetViews>
    <sheetView tabSelected="1" zoomScale="130" zoomScaleNormal="130" workbookViewId="0">
      <selection activeCell="B6" sqref="B6"/>
    </sheetView>
  </sheetViews>
  <sheetFormatPr defaultRowHeight="15" x14ac:dyDescent="0.25"/>
  <cols>
    <col min="1" max="1" width="15.28515625" customWidth="1"/>
    <col min="2" max="2" width="49.28515625" customWidth="1"/>
    <col min="3" max="3" width="12.7109375" customWidth="1"/>
    <col min="4" max="4" width="15.5703125" customWidth="1"/>
    <col min="5" max="5" width="16.7109375" customWidth="1"/>
    <col min="6" max="6" width="15" customWidth="1"/>
  </cols>
  <sheetData>
    <row r="1" spans="1:7" x14ac:dyDescent="0.25">
      <c r="A1" s="1" t="s">
        <v>0</v>
      </c>
      <c r="B1" s="1"/>
      <c r="C1" s="2"/>
      <c r="D1" s="2"/>
      <c r="E1" s="2"/>
      <c r="F1" s="3"/>
    </row>
    <row r="2" spans="1:7" x14ac:dyDescent="0.25">
      <c r="A2" s="4" t="s">
        <v>1</v>
      </c>
      <c r="B2" s="2"/>
      <c r="C2" s="5" t="s">
        <v>2</v>
      </c>
      <c r="D2" s="31"/>
      <c r="E2" s="32"/>
      <c r="F2" s="3"/>
    </row>
    <row r="3" spans="1:7" x14ac:dyDescent="0.25">
      <c r="A3" s="6" t="s">
        <v>3</v>
      </c>
      <c r="B3" s="6" t="s">
        <v>4</v>
      </c>
      <c r="C3" s="6" t="s">
        <v>5</v>
      </c>
      <c r="D3" s="6" t="s">
        <v>16</v>
      </c>
      <c r="E3" s="6" t="s">
        <v>6</v>
      </c>
      <c r="F3" s="6" t="s">
        <v>19</v>
      </c>
    </row>
    <row r="4" spans="1:7" ht="15.75" x14ac:dyDescent="0.25">
      <c r="A4" s="9" t="s">
        <v>7</v>
      </c>
      <c r="B4" s="10" t="s">
        <v>26</v>
      </c>
      <c r="C4" s="11">
        <v>1</v>
      </c>
      <c r="D4" s="12">
        <v>10000</v>
      </c>
      <c r="E4" s="13">
        <v>12000</v>
      </c>
      <c r="F4" s="14"/>
    </row>
    <row r="5" spans="1:7" ht="15.75" x14ac:dyDescent="0.25">
      <c r="A5" s="9" t="s">
        <v>8</v>
      </c>
      <c r="B5" s="15" t="s">
        <v>22</v>
      </c>
      <c r="C5" s="11">
        <v>1</v>
      </c>
      <c r="D5" s="12">
        <v>57500</v>
      </c>
      <c r="E5" s="13">
        <v>57500</v>
      </c>
      <c r="F5" s="14"/>
      <c r="G5">
        <v>350</v>
      </c>
    </row>
    <row r="6" spans="1:7" ht="15.75" x14ac:dyDescent="0.25">
      <c r="A6" s="9" t="s">
        <v>9</v>
      </c>
      <c r="B6" s="16" t="s">
        <v>24</v>
      </c>
      <c r="C6" s="11">
        <v>1</v>
      </c>
      <c r="D6" s="12">
        <v>15000</v>
      </c>
      <c r="E6" s="17">
        <v>18000</v>
      </c>
      <c r="F6" s="14"/>
      <c r="G6">
        <v>150</v>
      </c>
    </row>
    <row r="7" spans="1:7" ht="15.75" x14ac:dyDescent="0.25">
      <c r="A7" s="9" t="s">
        <v>10</v>
      </c>
      <c r="B7" s="18" t="s">
        <v>23</v>
      </c>
      <c r="C7" s="11">
        <v>1</v>
      </c>
      <c r="D7" s="12">
        <v>6500</v>
      </c>
      <c r="E7" s="17">
        <v>6500</v>
      </c>
      <c r="F7" s="14"/>
    </row>
    <row r="8" spans="1:7" ht="15.75" x14ac:dyDescent="0.25">
      <c r="A8" s="9" t="s">
        <v>11</v>
      </c>
      <c r="B8" s="19" t="s">
        <v>20</v>
      </c>
      <c r="C8" s="11">
        <v>6</v>
      </c>
      <c r="D8" s="12">
        <v>15500</v>
      </c>
      <c r="E8" s="17">
        <f>D8*6</f>
        <v>93000</v>
      </c>
      <c r="F8" s="14"/>
    </row>
    <row r="9" spans="1:7" ht="15.75" x14ac:dyDescent="0.25">
      <c r="A9" s="9" t="s">
        <v>12</v>
      </c>
      <c r="B9" s="16" t="s">
        <v>25</v>
      </c>
      <c r="C9" s="11">
        <v>1</v>
      </c>
      <c r="D9" s="12">
        <v>54000</v>
      </c>
      <c r="E9" s="17">
        <v>54000</v>
      </c>
      <c r="F9" s="14"/>
    </row>
    <row r="10" spans="1:7" ht="15.75" x14ac:dyDescent="0.25">
      <c r="A10" s="9" t="s">
        <v>13</v>
      </c>
      <c r="B10" s="16" t="s">
        <v>21</v>
      </c>
      <c r="C10" s="11">
        <v>1</v>
      </c>
      <c r="D10" s="12">
        <v>4000</v>
      </c>
      <c r="E10" s="20">
        <v>4500</v>
      </c>
      <c r="F10" s="14"/>
    </row>
    <row r="11" spans="1:7" ht="15.75" x14ac:dyDescent="0.25">
      <c r="A11" s="9"/>
      <c r="B11" s="33"/>
      <c r="C11" s="33"/>
      <c r="D11" s="21"/>
      <c r="E11" s="22"/>
      <c r="F11" s="14"/>
    </row>
    <row r="12" spans="1:7" ht="14.25" customHeight="1" x14ac:dyDescent="0.25">
      <c r="A12" s="9"/>
      <c r="B12" s="19"/>
      <c r="C12" s="11"/>
      <c r="D12" s="12"/>
      <c r="E12" s="20"/>
      <c r="F12" s="14"/>
    </row>
    <row r="13" spans="1:7" ht="16.149999999999999" customHeight="1" x14ac:dyDescent="0.25">
      <c r="A13" s="9"/>
      <c r="B13" s="23"/>
      <c r="C13" s="24" t="s">
        <v>17</v>
      </c>
      <c r="D13" s="25"/>
      <c r="E13" s="8">
        <f>SUM(E4:E12)</f>
        <v>245500</v>
      </c>
      <c r="F13" s="14"/>
    </row>
    <row r="14" spans="1:7" ht="16.149999999999999" customHeight="1" x14ac:dyDescent="0.25">
      <c r="A14" s="9"/>
      <c r="B14" s="23"/>
      <c r="C14" s="30"/>
      <c r="D14" s="25"/>
      <c r="E14" s="26">
        <f>E13*12%</f>
        <v>29460</v>
      </c>
      <c r="F14" s="14"/>
    </row>
    <row r="15" spans="1:7" ht="18" customHeight="1" x14ac:dyDescent="0.25">
      <c r="A15" s="9"/>
      <c r="B15" s="9"/>
      <c r="C15" s="24" t="s">
        <v>18</v>
      </c>
      <c r="D15" s="27"/>
      <c r="E15" s="8">
        <f>SUM(E13:E14)</f>
        <v>274960</v>
      </c>
      <c r="F15" s="14"/>
    </row>
    <row r="16" spans="1:7" ht="15.75" x14ac:dyDescent="0.25">
      <c r="A16" s="9"/>
      <c r="B16" s="9"/>
      <c r="C16" s="28" t="s">
        <v>14</v>
      </c>
      <c r="D16" s="29"/>
      <c r="E16" s="7">
        <f>E15*18%</f>
        <v>49492.799999999996</v>
      </c>
      <c r="F16" s="14"/>
    </row>
    <row r="17" spans="1:6" ht="15.75" x14ac:dyDescent="0.25">
      <c r="A17" s="9"/>
      <c r="B17" s="9"/>
      <c r="C17" s="28" t="s">
        <v>15</v>
      </c>
      <c r="D17" s="29"/>
      <c r="E17" s="7">
        <f>SUM(E15:E16)</f>
        <v>324452.8</v>
      </c>
      <c r="F17" s="14"/>
    </row>
  </sheetData>
  <mergeCells count="1">
    <mergeCell ref="D2:E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lakshmanan.n@allwayhpc.com</dc:creator>
  <cp:lastModifiedBy>ADMIN</cp:lastModifiedBy>
  <dcterms:created xsi:type="dcterms:W3CDTF">2026-02-26T06:16:45Z</dcterms:created>
  <dcterms:modified xsi:type="dcterms:W3CDTF">2026-09-21T04:50:43Z</dcterms:modified>
</cp:coreProperties>
</file>