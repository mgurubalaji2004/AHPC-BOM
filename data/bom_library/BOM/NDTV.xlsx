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H32" i="1"/>
  <c r="E47" i="1"/>
  <c r="E23" i="1" l="1"/>
  <c r="E12" i="1"/>
</calcChain>
</file>

<file path=xl/sharedStrings.xml><?xml version="1.0" encoding="utf-8"?>
<sst xmlns="http://schemas.openxmlformats.org/spreadsheetml/2006/main" count="79" uniqueCount="46">
  <si>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</si>
  <si>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</si>
  <si>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</si>
  <si>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</si>
  <si>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</si>
  <si>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</si>
  <si>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</si>
  <si>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</si>
  <si>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</si>
  <si>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</si>
  <si>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</si>
  <si>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</si>
  <si>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</si>
  <si>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</si>
  <si>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</si>
  <si>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</si>
  <si>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</si>
  <si>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</si>
  <si>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 xml:space="preserve">indicate changes if any </t>
  </si>
  <si>
    <t>AMD EPYC 9354 32-Cores, Base Freq 3.25GHz, Max Freq 3.8GHz, Cache 256MB</t>
  </si>
  <si>
    <t xml:space="preserve">64GB DDR5 4800MHz </t>
  </si>
  <si>
    <t xml:space="preserve">960GB SATA SSD </t>
  </si>
  <si>
    <t>HDD</t>
  </si>
  <si>
    <t>24TB HDD</t>
  </si>
  <si>
    <t>Raid Controlller</t>
  </si>
  <si>
    <t xml:space="preserve">Megaraid 9560-16i </t>
  </si>
  <si>
    <t>raid cable</t>
  </si>
  <si>
    <t xml:space="preserve"> 1392TB Expandable  528TB Usable</t>
  </si>
  <si>
    <t>With Margin(15%)</t>
  </si>
  <si>
    <t>Margin(15%)</t>
  </si>
  <si>
    <t xml:space="preserve">4U 108x 3.5” hot-swap bays, hot-swap JBOD </t>
  </si>
  <si>
    <t>6100 USD</t>
  </si>
  <si>
    <t>AIC</t>
  </si>
  <si>
    <t xml:space="preserve">2U 12-bay Rackmountable </t>
  </si>
  <si>
    <t>MZ73-LM0</t>
  </si>
  <si>
    <t>Arihant</t>
  </si>
  <si>
    <t>J10</t>
  </si>
  <si>
    <t>Megaraid 9500-16e</t>
  </si>
  <si>
    <t>Power supply</t>
  </si>
  <si>
    <t xml:space="preserve">1200W RPS </t>
  </si>
  <si>
    <t>Raid cables</t>
  </si>
  <si>
    <t>SAS HBA Controller</t>
  </si>
  <si>
    <t>AIC SB407-VA</t>
  </si>
  <si>
    <t xml:space="preserve">4U 60-Bays Rack Mountable Chassis </t>
  </si>
  <si>
    <t>barebone</t>
  </si>
  <si>
    <t>Intel® Xeon® Gold 6530 Processor (32-Cores, Base Freq 2.10GHz, Max Freq 4.00GHz, Cache 160MB)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</si>
</sst>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wrapText="1"/>
    </xf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right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right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top" wrapText="1"/>
    </xf>
    <xf numFmtId="4" fontId="0" fillId="0" borderId="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right"/>
    </xf>
    <xf numFmtId="4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/>
    <xf numFmtId="3" fontId="0" fillId="0" borderId="1" xfId="0" applyNumberFormat="1" applyFont="1" applyBorder="1" applyAlignment="1">
      <alignment vertical="center" readingOrder="1"/>
    </xf>
    <xf numFmtId="0" fontId="0" fillId="4" borderId="1" xfId="0" applyFont="1" applyFill="1" applyBorder="1" applyAlignment="1">
      <alignment wrapText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0" fontId="0" fillId="0" borderId="0" xfId="0" applyFont="1" applyBorder="1"/>
    <xf numFmtId="0" fontId="0" fillId="0" borderId="1" xfId="0" applyFont="1" applyFill="1" applyBorder="1"/>
    <xf numFmtId="0" fontId="0" fillId="4" borderId="3" xfId="0" applyFont="1" applyFill="1" applyBorder="1" applyAlignment="1">
      <alignment wrapText="1"/>
    </xf>
    <xf numFmtId="4" fontId="0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right"/>
    </xf>
    <xf numFmtId="4" fontId="0" fillId="0" borderId="0" xfId="0" applyNumberForma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zoomScale="121" zoomScaleNormal="190" workbookViewId="0">
      <selection activeCell="E4" sqref="E4:F11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  <col min="8" max="8" width="19" customWidth="1"/>
  </cols>
  <sheetData>
    <row r="1" spans="1:6" x14ac:dyDescent="0.25">
      <c r="A1" s="1" t="s">
        <v>0</v>
      </c>
      <c r="B1" s="1"/>
      <c r="C1" s="9"/>
      <c r="D1" s="9"/>
      <c r="E1" s="10"/>
      <c r="F1" s="3"/>
    </row>
    <row r="2" spans="1:6" x14ac:dyDescent="0.25">
      <c r="A2" s="4" t="s">
        <v>1</v>
      </c>
      <c r="B2" s="2"/>
      <c r="C2" s="11" t="s">
        <v>2</v>
      </c>
      <c r="D2" s="43"/>
      <c r="E2" s="44"/>
      <c r="F2" s="3"/>
    </row>
    <row r="3" spans="1:6" ht="30" x14ac:dyDescent="0.25">
      <c r="A3" s="6" t="s">
        <v>3</v>
      </c>
      <c r="B3" s="6" t="s">
        <v>4</v>
      </c>
      <c r="C3" s="12" t="s">
        <v>5</v>
      </c>
      <c r="D3" s="13" t="s">
        <v>16</v>
      </c>
      <c r="E3" s="14" t="s">
        <v>15</v>
      </c>
      <c r="F3" s="6" t="s">
        <v>18</v>
      </c>
    </row>
    <row r="4" spans="1:6" x14ac:dyDescent="0.25">
      <c r="A4" s="2" t="s">
        <v>7</v>
      </c>
      <c r="B4" s="9" t="s">
        <v>43</v>
      </c>
      <c r="C4" s="15">
        <v>1</v>
      </c>
      <c r="D4" s="16">
        <v>3700</v>
      </c>
      <c r="E4" s="17">
        <v>450000</v>
      </c>
      <c r="F4" s="3" t="s">
        <v>42</v>
      </c>
    </row>
    <row r="5" spans="1:6" x14ac:dyDescent="0.25">
      <c r="A5" s="2" t="s">
        <v>8</v>
      </c>
      <c r="B5" s="18" t="s">
        <v>44</v>
      </c>
      <c r="C5" s="15">
        <v>1</v>
      </c>
      <c r="D5" s="16">
        <v>0</v>
      </c>
      <c r="E5" s="17">
        <v>65000</v>
      </c>
      <c r="F5" s="3"/>
    </row>
    <row r="6" spans="1:6" ht="30" x14ac:dyDescent="0.25">
      <c r="A6" s="2" t="s">
        <v>9</v>
      </c>
      <c r="B6" s="19" t="s">
        <v>45</v>
      </c>
      <c r="C6" s="15">
        <v>2</v>
      </c>
      <c r="D6" s="16">
        <v>185000</v>
      </c>
      <c r="E6" s="17">
        <v>390000</v>
      </c>
      <c r="F6" s="3"/>
    </row>
    <row r="7" spans="1:6" x14ac:dyDescent="0.25">
      <c r="A7" s="2" t="s">
        <v>11</v>
      </c>
      <c r="B7" s="21" t="s">
        <v>20</v>
      </c>
      <c r="C7" s="15">
        <v>4</v>
      </c>
      <c r="D7" s="16">
        <v>210000</v>
      </c>
      <c r="E7" s="17">
        <v>880000</v>
      </c>
      <c r="F7" s="3"/>
    </row>
    <row r="8" spans="1:6" x14ac:dyDescent="0.25">
      <c r="A8" s="2" t="s">
        <v>12</v>
      </c>
      <c r="B8" s="19" t="s">
        <v>21</v>
      </c>
      <c r="C8" s="15">
        <v>2</v>
      </c>
      <c r="D8" s="16">
        <v>50000</v>
      </c>
      <c r="E8" s="17">
        <v>100000</v>
      </c>
      <c r="F8" s="3"/>
    </row>
    <row r="9" spans="1:6" x14ac:dyDescent="0.25">
      <c r="A9" s="2" t="s">
        <v>22</v>
      </c>
      <c r="B9" s="21" t="s">
        <v>23</v>
      </c>
      <c r="C9" s="15">
        <v>24</v>
      </c>
      <c r="D9" s="16">
        <v>95000</v>
      </c>
      <c r="E9" s="17">
        <v>2280000</v>
      </c>
      <c r="F9" s="3"/>
    </row>
    <row r="10" spans="1:6" x14ac:dyDescent="0.25">
      <c r="A10" s="2" t="s">
        <v>24</v>
      </c>
      <c r="B10" s="3" t="s">
        <v>25</v>
      </c>
      <c r="C10" s="22">
        <v>1</v>
      </c>
      <c r="D10" s="23">
        <v>200000</v>
      </c>
      <c r="E10" s="24">
        <v>200000</v>
      </c>
      <c r="F10" s="3"/>
    </row>
    <row r="11" spans="1:6" ht="14.25" customHeight="1" x14ac:dyDescent="0.25">
      <c r="A11" s="2"/>
      <c r="B11" s="3" t="s">
        <v>26</v>
      </c>
      <c r="C11" s="22">
        <v>1</v>
      </c>
      <c r="D11" s="23">
        <v>5000</v>
      </c>
      <c r="E11" s="24">
        <v>5000</v>
      </c>
      <c r="F11" s="3"/>
    </row>
    <row r="12" spans="1:6" ht="16.149999999999999" customHeight="1" x14ac:dyDescent="0.25">
      <c r="A12" s="2"/>
      <c r="B12" s="25" t="s">
        <v>27</v>
      </c>
      <c r="C12" s="12" t="s">
        <v>17</v>
      </c>
      <c r="D12" s="26"/>
      <c r="E12" s="27">
        <f>SUM(E4:E11)</f>
        <v>4370000</v>
      </c>
      <c r="F12" s="3"/>
    </row>
    <row r="13" spans="1:6" ht="18" customHeight="1" x14ac:dyDescent="0.25">
      <c r="A13" s="2"/>
      <c r="B13" s="2"/>
      <c r="C13" s="12" t="s">
        <v>29</v>
      </c>
      <c r="D13" s="28"/>
      <c r="E13" s="29">
        <v>5085900</v>
      </c>
      <c r="F13" s="3"/>
    </row>
    <row r="14" spans="1:6" ht="15.75" x14ac:dyDescent="0.25">
      <c r="A14" s="2"/>
      <c r="B14" s="2"/>
      <c r="C14" s="12" t="s">
        <v>14</v>
      </c>
      <c r="D14" s="30"/>
      <c r="E14" s="7">
        <v>915462</v>
      </c>
      <c r="F14" s="3"/>
    </row>
    <row r="15" spans="1:6" ht="15.75" x14ac:dyDescent="0.25">
      <c r="A15" s="2"/>
      <c r="B15" s="2"/>
      <c r="C15" s="12" t="s">
        <v>15</v>
      </c>
      <c r="D15" s="30"/>
      <c r="E15" s="7">
        <v>6001362</v>
      </c>
      <c r="F15" s="3"/>
    </row>
    <row r="18" spans="1:8" x14ac:dyDescent="0.25">
      <c r="A18" s="4" t="s">
        <v>1</v>
      </c>
      <c r="B18" s="2"/>
      <c r="C18" s="5" t="s">
        <v>2</v>
      </c>
      <c r="D18" s="43"/>
      <c r="E18" s="44"/>
      <c r="F18" s="3"/>
    </row>
    <row r="19" spans="1:8" ht="30" x14ac:dyDescent="0.25">
      <c r="A19" s="6" t="s">
        <v>3</v>
      </c>
      <c r="B19" s="6" t="s">
        <v>4</v>
      </c>
      <c r="C19" s="6" t="s">
        <v>5</v>
      </c>
      <c r="D19" s="6" t="s">
        <v>16</v>
      </c>
      <c r="E19" s="6" t="s">
        <v>6</v>
      </c>
      <c r="F19" s="6" t="s">
        <v>18</v>
      </c>
    </row>
    <row r="20" spans="1:8" x14ac:dyDescent="0.25">
      <c r="A20" s="2" t="s">
        <v>7</v>
      </c>
      <c r="B20" s="31" t="s">
        <v>30</v>
      </c>
      <c r="C20" s="8">
        <v>1</v>
      </c>
      <c r="D20" s="16" t="s">
        <v>31</v>
      </c>
      <c r="E20" s="32">
        <v>660000</v>
      </c>
      <c r="F20" s="3" t="s">
        <v>32</v>
      </c>
    </row>
    <row r="21" spans="1:8" x14ac:dyDescent="0.25">
      <c r="A21" s="2" t="s">
        <v>22</v>
      </c>
      <c r="B21" s="21" t="s">
        <v>23</v>
      </c>
      <c r="C21" s="15">
        <v>48</v>
      </c>
      <c r="D21" s="16">
        <v>95000</v>
      </c>
      <c r="E21" s="17">
        <v>4560000</v>
      </c>
      <c r="F21" s="3"/>
    </row>
    <row r="22" spans="1:8" x14ac:dyDescent="0.25">
      <c r="A22" s="2" t="s">
        <v>13</v>
      </c>
      <c r="B22" s="21"/>
      <c r="C22" s="8"/>
      <c r="D22" s="16"/>
      <c r="E22" s="17"/>
      <c r="F22" s="3"/>
    </row>
    <row r="23" spans="1:8" x14ac:dyDescent="0.25">
      <c r="A23" s="2"/>
      <c r="B23" s="25"/>
      <c r="C23" s="33" t="s">
        <v>17</v>
      </c>
      <c r="D23" s="34"/>
      <c r="E23" s="27">
        <f>SUM(E20:E22)</f>
        <v>5220000</v>
      </c>
      <c r="F23" s="3"/>
    </row>
    <row r="24" spans="1:8" ht="30" x14ac:dyDescent="0.25">
      <c r="A24" s="2"/>
      <c r="B24" s="2"/>
      <c r="C24" s="33" t="s">
        <v>28</v>
      </c>
      <c r="D24" s="35"/>
      <c r="E24" s="29">
        <v>6245000</v>
      </c>
      <c r="F24" s="3"/>
    </row>
    <row r="25" spans="1:8" ht="15.75" x14ac:dyDescent="0.25">
      <c r="A25" s="2"/>
      <c r="B25" s="2"/>
      <c r="C25" s="6" t="s">
        <v>14</v>
      </c>
      <c r="D25" s="36"/>
      <c r="E25" s="7">
        <v>1124100</v>
      </c>
      <c r="F25" s="3"/>
    </row>
    <row r="26" spans="1:8" ht="15.75" x14ac:dyDescent="0.25">
      <c r="A26" s="2"/>
      <c r="B26" s="2"/>
      <c r="C26" s="6" t="s">
        <v>15</v>
      </c>
      <c r="D26" s="36"/>
      <c r="E26" s="7">
        <v>7369100</v>
      </c>
      <c r="F26" s="3"/>
    </row>
    <row r="29" spans="1:8" ht="30" x14ac:dyDescent="0.25">
      <c r="A29" s="6" t="s">
        <v>3</v>
      </c>
      <c r="B29" s="6" t="s">
        <v>4</v>
      </c>
      <c r="C29" s="12" t="s">
        <v>5</v>
      </c>
      <c r="D29" s="13" t="s">
        <v>16</v>
      </c>
      <c r="E29" s="14" t="s">
        <v>15</v>
      </c>
      <c r="F29" s="6" t="s">
        <v>18</v>
      </c>
    </row>
    <row r="30" spans="1:8" ht="15.75" x14ac:dyDescent="0.25">
      <c r="A30" s="2" t="s">
        <v>7</v>
      </c>
      <c r="B30" s="9" t="s">
        <v>33</v>
      </c>
      <c r="C30" s="15">
        <v>1</v>
      </c>
      <c r="D30" s="16">
        <v>99000</v>
      </c>
      <c r="E30" s="17">
        <v>99000</v>
      </c>
      <c r="F30" s="3" t="s">
        <v>32</v>
      </c>
      <c r="H30" s="7">
        <v>5220000</v>
      </c>
    </row>
    <row r="31" spans="1:8" ht="15.75" x14ac:dyDescent="0.25">
      <c r="A31" s="2" t="s">
        <v>8</v>
      </c>
      <c r="B31" s="18" t="s">
        <v>34</v>
      </c>
      <c r="C31" s="15">
        <v>1</v>
      </c>
      <c r="D31" s="16">
        <v>150000</v>
      </c>
      <c r="E31" s="17">
        <v>150000</v>
      </c>
      <c r="F31" s="3" t="s">
        <v>35</v>
      </c>
      <c r="H31" s="7">
        <v>1585000</v>
      </c>
    </row>
    <row r="32" spans="1:8" ht="30" x14ac:dyDescent="0.25">
      <c r="A32" s="2" t="s">
        <v>9</v>
      </c>
      <c r="B32" s="19" t="s">
        <v>19</v>
      </c>
      <c r="C32" s="15">
        <v>2</v>
      </c>
      <c r="D32" s="16">
        <v>171000</v>
      </c>
      <c r="E32" s="17">
        <v>342000</v>
      </c>
      <c r="F32" s="3"/>
      <c r="H32" s="7">
        <f>SUM(H30:H31)</f>
        <v>6805000</v>
      </c>
    </row>
    <row r="33" spans="1:6" x14ac:dyDescent="0.25">
      <c r="A33" s="2" t="s">
        <v>10</v>
      </c>
      <c r="B33" s="20" t="s">
        <v>36</v>
      </c>
      <c r="C33" s="15">
        <v>1</v>
      </c>
      <c r="D33" s="16">
        <v>6000</v>
      </c>
      <c r="E33" s="17">
        <v>12000</v>
      </c>
      <c r="F33" s="3"/>
    </row>
    <row r="34" spans="1:6" x14ac:dyDescent="0.25">
      <c r="A34" s="2" t="s">
        <v>11</v>
      </c>
      <c r="B34" s="21" t="s">
        <v>20</v>
      </c>
      <c r="C34" s="15">
        <v>4</v>
      </c>
      <c r="D34" s="16">
        <v>200000</v>
      </c>
      <c r="E34" s="17">
        <v>800000</v>
      </c>
      <c r="F34" s="3"/>
    </row>
    <row r="35" spans="1:6" x14ac:dyDescent="0.25">
      <c r="A35" s="2" t="s">
        <v>12</v>
      </c>
      <c r="B35" s="19" t="s">
        <v>21</v>
      </c>
      <c r="C35" s="15">
        <v>2</v>
      </c>
      <c r="D35" s="16">
        <v>50000</v>
      </c>
      <c r="E35" s="17">
        <v>100000</v>
      </c>
      <c r="F35" s="3"/>
    </row>
    <row r="36" spans="1:6" x14ac:dyDescent="0.25">
      <c r="A36" s="2" t="s">
        <v>24</v>
      </c>
      <c r="B36" s="3" t="s">
        <v>37</v>
      </c>
      <c r="C36" s="22">
        <v>1</v>
      </c>
      <c r="D36" s="23">
        <v>63000</v>
      </c>
      <c r="E36" s="24">
        <v>65000</v>
      </c>
      <c r="F36" s="3"/>
    </row>
    <row r="37" spans="1:6" x14ac:dyDescent="0.25">
      <c r="A37" s="2" t="s">
        <v>38</v>
      </c>
      <c r="B37" s="3" t="s">
        <v>39</v>
      </c>
      <c r="C37" s="22">
        <v>1</v>
      </c>
      <c r="D37" s="23">
        <v>10000</v>
      </c>
      <c r="E37" s="24">
        <v>10000</v>
      </c>
      <c r="F37" s="37"/>
    </row>
    <row r="38" spans="1:6" x14ac:dyDescent="0.25">
      <c r="A38" s="2" t="s">
        <v>40</v>
      </c>
      <c r="B38" s="38" t="s">
        <v>41</v>
      </c>
      <c r="C38" s="22"/>
      <c r="D38" s="23">
        <v>5000</v>
      </c>
      <c r="E38" s="24">
        <v>5000</v>
      </c>
      <c r="F38" s="37"/>
    </row>
    <row r="39" spans="1:6" x14ac:dyDescent="0.25">
      <c r="C39" s="39" t="s">
        <v>17</v>
      </c>
      <c r="D39" s="40"/>
      <c r="E39" s="41">
        <f>SUM(E30:E38)</f>
        <v>1583000</v>
      </c>
    </row>
    <row r="40" spans="1:6" ht="30" x14ac:dyDescent="0.25">
      <c r="C40" s="33" t="s">
        <v>28</v>
      </c>
      <c r="D40" s="35"/>
      <c r="E40" s="29">
        <v>1897500</v>
      </c>
    </row>
    <row r="41" spans="1:6" ht="15.75" x14ac:dyDescent="0.25">
      <c r="C41" s="6" t="s">
        <v>14</v>
      </c>
      <c r="D41" s="36"/>
      <c r="E41" s="7">
        <v>341550</v>
      </c>
    </row>
    <row r="42" spans="1:6" ht="15.75" x14ac:dyDescent="0.25">
      <c r="C42" s="6" t="s">
        <v>15</v>
      </c>
      <c r="D42" s="36"/>
      <c r="E42" s="7">
        <v>2239050</v>
      </c>
    </row>
    <row r="45" spans="1:6" x14ac:dyDescent="0.25">
      <c r="E45" s="29">
        <v>1897500</v>
      </c>
    </row>
    <row r="46" spans="1:6" x14ac:dyDescent="0.25">
      <c r="E46" s="29">
        <v>6245000</v>
      </c>
    </row>
    <row r="47" spans="1:6" x14ac:dyDescent="0.25">
      <c r="E47" s="42">
        <f>SUM(E45:E46)</f>
        <v>8142500</v>
      </c>
    </row>
  </sheetData>
  <mergeCells count="2">
    <mergeCell ref="D2:E2"/>
    <mergeCell ref="D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2026-08-13T04:55:03Z</dcterms:modified>
</cp:coreProperties>
</file>