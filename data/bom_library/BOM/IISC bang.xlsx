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23250" windowHeight="131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1" l="1"/>
  <c r="E14" i="1" s="1"/>
  <c r="E17" i="1" l="1"/>
  <c r="E15" i="1"/>
  <c r="E16" i="1" s="1"/>
</calcChain>
</file>

<file path=xl/sharedStrings.xml><?xml version="1.0" encoding="utf-8"?>
<sst xmlns="http://schemas.openxmlformats.org/spreadsheetml/2006/main" count="31" uniqueCount="31">
  <si>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</si>
  <si>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</si>
  <si>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</si>
  <si>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</si>
  <si>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</si>
  <si>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</si>
  <si>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</si>
  <si>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</si>
  <si>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</si>
  <si>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</si>
  <si>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</si>
  <si>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</si>
  <si>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</si>
  <si>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power supply</t>
  </si>
  <si>
    <t>GST -18%</t>
  </si>
  <si>
    <t>Total Price</t>
  </si>
  <si>
    <t>Unit Prize</t>
  </si>
  <si>
    <t>Sub Total</t>
  </si>
  <si>
    <t>Monitor</t>
  </si>
  <si>
    <t>keyboard Mouse</t>
  </si>
  <si>
    <t>Margin-15%</t>
  </si>
  <si>
    <t>From</t>
  </si>
  <si>
    <t>Hyte X50 Workstation Chassis</t>
  </si>
  <si>
    <t>360mm Liquid CPU Cooler</t>
  </si>
  <si>
    <t>NVIDIA RTX 5090 32GB GDDR7</t>
  </si>
  <si>
    <t>1300W 80+ Gold Power Supply</t>
  </si>
  <si>
    <t>4 × 32GB DDR5 5200MT/s RAM</t>
  </si>
  <si>
    <t>8TB SATA HDD seagate exos</t>
  </si>
  <si>
    <t>2TB NVMe M.2 SSD gen4</t>
  </si>
  <si>
    <t>AMD Ryzen™ 9 9950X (16-Cores, Base Freq 4.30GHz, Max Freq 5.70GHz, Cache 64MB)</t>
  </si>
  <si>
    <t>GIGABYTE X870 AORUS ELITE WIFI Motherboard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</si>
</sst>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4" fontId="2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wrapText="1"/>
    </xf>
    <xf numFmtId="0" fontId="4" fillId="0" borderId="1" xfId="0" applyFont="1" applyBorder="1"/>
    <xf numFmtId="0" fontId="2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wrapText="1"/>
    </xf>
    <xf numFmtId="4" fontId="4" fillId="0" borderId="1" xfId="0" applyNumberFormat="1" applyFont="1" applyBorder="1" applyAlignment="1">
      <alignment horizontal="center" wrapText="1"/>
    </xf>
    <xf numFmtId="4" fontId="4" fillId="0" borderId="0" xfId="0" applyNumberFormat="1" applyFont="1" applyAlignment="1">
      <alignment horizontal="right"/>
    </xf>
    <xf numFmtId="4" fontId="4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vertical="top" wrapText="1"/>
    </xf>
    <xf numFmtId="4" fontId="4" fillId="5" borderId="1" xfId="0" applyNumberFormat="1" applyFont="1" applyFill="1" applyBorder="1" applyAlignment="1">
      <alignment horizontal="center" vertical="top" wrapText="1"/>
    </xf>
    <xf numFmtId="9" fontId="4" fillId="4" borderId="1" xfId="0" applyNumberFormat="1" applyFont="1" applyFill="1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wrapText="1"/>
    </xf>
    <xf numFmtId="3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vertical="top" wrapText="1"/>
    </xf>
    <xf numFmtId="3" fontId="0" fillId="0" borderId="1" xfId="0" applyNumberFormat="1" applyBorder="1" applyAlignment="1">
      <alignment horizontal="center" vertical="center"/>
    </xf>
    <xf numFmtId="14" fontId="0" fillId="0" borderId="2" xfId="0" applyNumberFormat="1" applyFont="1" applyBorder="1" applyAlignment="1">
      <alignment horizontal="center" wrapText="1"/>
    </xf>
    <xf numFmtId="14" fontId="0" fillId="0" borderId="3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zoomScale="115" zoomScaleNormal="115" workbookViewId="0">
      <selection activeCell="B15" sqref="B15"/>
    </sheetView>
  </sheetViews>
  <sheetFormatPr defaultRowHeight="15" x14ac:dyDescent="0.25"/>
  <cols>
    <col min="1" max="1" width="15.28515625" customWidth="1"/>
    <col min="2" max="2" width="49.28515625" customWidth="1"/>
    <col min="3" max="3" width="12.7109375" customWidth="1"/>
    <col min="4" max="4" width="15.5703125" customWidth="1"/>
    <col min="5" max="5" width="16.7109375" customWidth="1"/>
    <col min="6" max="6" width="15" customWidth="1"/>
  </cols>
  <sheetData>
    <row r="1" spans="1:6" x14ac:dyDescent="0.25">
      <c r="A1" s="1" t="s">
        <v>0</v>
      </c>
      <c r="B1" s="1"/>
      <c r="C1" s="2"/>
      <c r="D1" s="2"/>
      <c r="E1" s="2"/>
      <c r="F1" s="3"/>
    </row>
    <row r="2" spans="1:6" x14ac:dyDescent="0.25">
      <c r="A2" s="4" t="s">
        <v>1</v>
      </c>
      <c r="B2" s="2"/>
      <c r="C2" s="5" t="s">
        <v>2</v>
      </c>
      <c r="D2" s="25"/>
      <c r="E2" s="26"/>
      <c r="F2" s="3"/>
    </row>
    <row r="3" spans="1:6" x14ac:dyDescent="0.25">
      <c r="A3" s="6" t="s">
        <v>3</v>
      </c>
      <c r="B3" s="6" t="s">
        <v>4</v>
      </c>
      <c r="C3" s="6" t="s">
        <v>5</v>
      </c>
      <c r="D3" s="6" t="s">
        <v>16</v>
      </c>
      <c r="E3" s="6" t="s">
        <v>6</v>
      </c>
      <c r="F3" s="6" t="s">
        <v>21</v>
      </c>
    </row>
    <row r="4" spans="1:6" ht="15.75" x14ac:dyDescent="0.25">
      <c r="A4" s="9" t="s">
        <v>7</v>
      </c>
      <c r="B4" s="19" t="s">
        <v>22</v>
      </c>
      <c r="C4" s="20">
        <v>1</v>
      </c>
      <c r="D4" s="21">
        <v>11500</v>
      </c>
      <c r="E4" s="21">
        <v>12000</v>
      </c>
      <c r="F4" s="10"/>
    </row>
    <row r="5" spans="1:6" ht="15.75" x14ac:dyDescent="0.25">
      <c r="A5" s="9" t="s">
        <v>8</v>
      </c>
      <c r="B5" s="22" t="s">
        <v>30</v>
      </c>
      <c r="C5" s="20">
        <v>1</v>
      </c>
      <c r="D5" s="21">
        <v>22800</v>
      </c>
      <c r="E5" s="21">
        <v>23000</v>
      </c>
      <c r="F5" s="10"/>
    </row>
    <row r="6" spans="1:6" ht="30" x14ac:dyDescent="0.25">
      <c r="A6" s="9" t="s">
        <v>9</v>
      </c>
      <c r="B6" s="23" t="s">
        <v>29</v>
      </c>
      <c r="C6" s="20">
        <v>1</v>
      </c>
      <c r="D6" s="21">
        <v>38500</v>
      </c>
      <c r="E6" s="21">
        <v>39000</v>
      </c>
      <c r="F6" s="10"/>
    </row>
    <row r="7" spans="1:6" ht="15.75" x14ac:dyDescent="0.25">
      <c r="A7" s="9" t="s">
        <v>10</v>
      </c>
      <c r="B7" t="s">
        <v>23</v>
      </c>
      <c r="C7" s="20">
        <v>1</v>
      </c>
      <c r="D7" s="21">
        <v>9500</v>
      </c>
      <c r="E7" s="21">
        <v>10000</v>
      </c>
      <c r="F7" s="10"/>
    </row>
    <row r="8" spans="1:6" ht="15.75" x14ac:dyDescent="0.25">
      <c r="A8" s="9" t="s">
        <v>11</v>
      </c>
      <c r="B8" s="23" t="s">
        <v>26</v>
      </c>
      <c r="C8" s="20">
        <v>4</v>
      </c>
      <c r="D8" s="21">
        <v>47000</v>
      </c>
      <c r="E8" s="21">
        <v>190000</v>
      </c>
      <c r="F8" s="10"/>
    </row>
    <row r="9" spans="1:6" ht="15.75" x14ac:dyDescent="0.25">
      <c r="A9" s="9" t="s">
        <v>12</v>
      </c>
      <c r="B9" s="23" t="s">
        <v>28</v>
      </c>
      <c r="C9" s="20">
        <v>1</v>
      </c>
      <c r="D9" s="21">
        <v>24000</v>
      </c>
      <c r="E9" s="21">
        <v>25000</v>
      </c>
      <c r="F9" s="10">
        <v>250</v>
      </c>
    </row>
    <row r="10" spans="1:6" ht="15.75" x14ac:dyDescent="0.25">
      <c r="A10" s="9" t="s">
        <v>13</v>
      </c>
      <c r="B10" s="23" t="s">
        <v>27</v>
      </c>
      <c r="C10" s="20">
        <v>1</v>
      </c>
      <c r="D10" s="21">
        <v>36000</v>
      </c>
      <c r="E10" s="21">
        <v>36000</v>
      </c>
      <c r="F10" s="10">
        <v>250</v>
      </c>
    </row>
    <row r="11" spans="1:6" ht="15.75" x14ac:dyDescent="0.25">
      <c r="A11" s="9" t="s">
        <v>18</v>
      </c>
      <c r="B11" s="23" t="s">
        <v>24</v>
      </c>
      <c r="C11" s="20">
        <v>1</v>
      </c>
      <c r="D11" s="21">
        <v>500000</v>
      </c>
      <c r="E11" s="21">
        <v>500000</v>
      </c>
      <c r="F11" s="10">
        <v>600</v>
      </c>
    </row>
    <row r="12" spans="1:6" ht="14.25" customHeight="1" x14ac:dyDescent="0.25">
      <c r="A12" s="9" t="s">
        <v>19</v>
      </c>
      <c r="B12" t="s">
        <v>25</v>
      </c>
      <c r="C12" s="20">
        <v>1</v>
      </c>
      <c r="D12" s="24">
        <v>14500</v>
      </c>
      <c r="E12" s="24">
        <v>15000</v>
      </c>
      <c r="F12" s="10"/>
    </row>
    <row r="13" spans="1:6" ht="16.149999999999999" customHeight="1" x14ac:dyDescent="0.25">
      <c r="A13" s="9"/>
      <c r="B13" s="11"/>
      <c r="C13" s="12" t="s">
        <v>17</v>
      </c>
      <c r="D13" s="13"/>
      <c r="E13" s="8">
        <f>SUM(E4:E12)</f>
        <v>850000</v>
      </c>
      <c r="F13" s="10"/>
    </row>
    <row r="14" spans="1:6" ht="16.149999999999999" customHeight="1" x14ac:dyDescent="0.25">
      <c r="A14" s="9"/>
      <c r="B14" s="11"/>
      <c r="C14" s="18">
        <v>0.15</v>
      </c>
      <c r="D14" s="13"/>
      <c r="E14" s="14">
        <f>E13*15%</f>
        <v>127500</v>
      </c>
      <c r="F14" s="10"/>
    </row>
    <row r="15" spans="1:6" ht="18" customHeight="1" x14ac:dyDescent="0.25">
      <c r="A15" s="9"/>
      <c r="B15" s="9"/>
      <c r="C15" s="12" t="s">
        <v>20</v>
      </c>
      <c r="D15" s="15"/>
      <c r="E15" s="8">
        <f>SUM(E13:E14)</f>
        <v>977500</v>
      </c>
      <c r="F15" s="10"/>
    </row>
    <row r="16" spans="1:6" ht="15.75" x14ac:dyDescent="0.25">
      <c r="A16" s="9"/>
      <c r="B16" s="9"/>
      <c r="C16" s="16" t="s">
        <v>14</v>
      </c>
      <c r="D16" s="17"/>
      <c r="E16" s="7">
        <f>E15*18%</f>
        <v>175950</v>
      </c>
      <c r="F16" s="10"/>
    </row>
    <row r="17" spans="1:6" ht="15.75" x14ac:dyDescent="0.25">
      <c r="A17" s="9"/>
      <c r="B17" s="9"/>
      <c r="C17" s="16" t="s">
        <v>15</v>
      </c>
      <c r="D17" s="17"/>
      <c r="E17" s="7">
        <f>SUM(E13:E14)</f>
        <v>977500</v>
      </c>
      <c r="F17" s="10"/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2026-08-24T08:18:38Z</dcterms:modified>
</cp:coreProperties>
</file>