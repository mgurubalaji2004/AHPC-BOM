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6" i="1" s="1"/>
  <c r="E32" i="1" l="1"/>
  <c r="E13" i="1"/>
</calcChain>
</file>

<file path=xl/sharedStrings.xml><?xml version="1.0" encoding="utf-8"?>
<sst xmlns="http://schemas.openxmlformats.org/spreadsheetml/2006/main" count="62" uniqueCount="35">
  <si>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</si>
  <si>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</si>
  <si>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</si>
  <si>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</si>
  <si>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</si>
  <si>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</si>
  <si>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</si>
  <si>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</si>
  <si>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</si>
  <si>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</si>
  <si>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</si>
  <si>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</si>
  <si>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</si>
  <si>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</si>
  <si>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</si>
  <si>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</si>
  <si>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</si>
  <si>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</si>
  <si>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</si>
  <si>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</si>
  <si>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GRAPHIC CARD</t>
  </si>
  <si>
    <t>360mm Liquid CPU Cooler</t>
  </si>
  <si>
    <t>Intel® Core™ Ultra 9 Processor 285K
(24 Core, Up to 5.7GHz, 36MB Cache, LGA1851)</t>
  </si>
  <si>
    <t>GIGABYTE Z890 AORUS ELITE WIFI7  Workstation Motherboard</t>
  </si>
  <si>
    <t xml:space="preserve">500 GB M.2 Nvme SSD </t>
  </si>
  <si>
    <t>NVIDIA RTX PRO 4000 Blackwell 24GB GDDR7</t>
  </si>
  <si>
    <t>NVIDIA RTX PRO 4500 Blackwell 32GB GDDR7</t>
  </si>
  <si>
    <t>850W 80+ Gold Power Supply</t>
  </si>
  <si>
    <t>Hyte X50 Workstation Chassis</t>
  </si>
  <si>
    <t>Margin(15%)</t>
  </si>
  <si>
    <t>2 × 48GB DDR5 5600MT/s RAM</t>
  </si>
  <si>
    <t>4TB M.2 NVMe PCIe Gen4 SSD</t>
  </si>
  <si>
    <t>crucial p3 plus  4TB M.2 NVMe SSD</t>
  </si>
  <si>
    <t>650W Power Supply</t>
  </si>
  <si>
    <t>1000W 80+ Gold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</si>
</sst>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 applyAlignment="1">
      <alignment horizontal="center" vertical="top" wrapText="1"/>
    </xf>
    <xf numFmtId="4" fontId="0" fillId="0" borderId="0" xfId="0" applyNumberForma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/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7" zoomScale="115" zoomScaleNormal="115" workbookViewId="0">
      <selection activeCell="B23" sqref="B23:B3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1"/>
      <c r="E2" s="2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2" t="s">
        <v>28</v>
      </c>
      <c r="C4" s="8">
        <v>1</v>
      </c>
      <c r="D4" s="13">
        <v>11500</v>
      </c>
      <c r="E4" s="13">
        <v>11500</v>
      </c>
      <c r="F4" s="3"/>
    </row>
    <row r="5" spans="1:6" ht="30" x14ac:dyDescent="0.25">
      <c r="A5" s="2" t="s">
        <v>8</v>
      </c>
      <c r="B5" s="11" t="s">
        <v>23</v>
      </c>
      <c r="C5" s="8">
        <v>1</v>
      </c>
      <c r="D5" s="13">
        <v>28000</v>
      </c>
      <c r="E5" s="13">
        <v>30000</v>
      </c>
      <c r="F5" s="3"/>
    </row>
    <row r="6" spans="1:6" ht="30" x14ac:dyDescent="0.25">
      <c r="A6" s="2" t="s">
        <v>9</v>
      </c>
      <c r="B6" s="7" t="s">
        <v>22</v>
      </c>
      <c r="C6" s="8">
        <v>1</v>
      </c>
      <c r="D6" s="13">
        <v>52000</v>
      </c>
      <c r="E6" s="13">
        <v>52000</v>
      </c>
      <c r="F6" s="3"/>
    </row>
    <row r="7" spans="1:6" x14ac:dyDescent="0.25">
      <c r="A7" s="2" t="s">
        <v>10</v>
      </c>
      <c r="B7" t="s">
        <v>21</v>
      </c>
      <c r="C7" s="8">
        <v>1</v>
      </c>
      <c r="D7" s="13">
        <v>9500</v>
      </c>
      <c r="E7" s="13">
        <v>9500</v>
      </c>
      <c r="F7" s="3"/>
    </row>
    <row r="8" spans="1:6" x14ac:dyDescent="0.25">
      <c r="A8" s="2" t="s">
        <v>11</v>
      </c>
      <c r="B8" s="7" t="s">
        <v>30</v>
      </c>
      <c r="C8" s="8">
        <v>2</v>
      </c>
      <c r="D8" s="13">
        <v>63000</v>
      </c>
      <c r="E8" s="13">
        <v>150000</v>
      </c>
      <c r="F8" s="3"/>
    </row>
    <row r="9" spans="1:6" x14ac:dyDescent="0.25">
      <c r="A9" s="2" t="s">
        <v>12</v>
      </c>
      <c r="B9" s="7" t="s">
        <v>32</v>
      </c>
      <c r="C9" s="8">
        <v>1</v>
      </c>
      <c r="D9" s="13">
        <v>45500</v>
      </c>
      <c r="E9" s="13">
        <v>48000</v>
      </c>
      <c r="F9" s="3"/>
    </row>
    <row r="10" spans="1:6" x14ac:dyDescent="0.25">
      <c r="A10" s="2" t="s">
        <v>12</v>
      </c>
      <c r="B10" s="7" t="s">
        <v>33</v>
      </c>
      <c r="C10" s="8">
        <v>1</v>
      </c>
      <c r="D10" s="13">
        <v>9000</v>
      </c>
      <c r="E10" s="13">
        <v>9000</v>
      </c>
      <c r="F10" s="3"/>
    </row>
    <row r="11" spans="1:6" x14ac:dyDescent="0.25">
      <c r="A11" s="2" t="s">
        <v>20</v>
      </c>
      <c r="B11" s="7" t="s">
        <v>25</v>
      </c>
      <c r="C11" s="8">
        <v>1</v>
      </c>
      <c r="D11" s="13">
        <v>180000</v>
      </c>
      <c r="E11" s="13">
        <v>180000</v>
      </c>
      <c r="F11" s="3"/>
    </row>
    <row r="12" spans="1:6" x14ac:dyDescent="0.25">
      <c r="A12" s="2" t="s">
        <v>13</v>
      </c>
      <c r="B12" t="s">
        <v>27</v>
      </c>
      <c r="C12" s="8">
        <v>1</v>
      </c>
      <c r="D12" s="14">
        <v>8500</v>
      </c>
      <c r="E12" s="14">
        <v>9000</v>
      </c>
      <c r="F12" s="3"/>
    </row>
    <row r="13" spans="1:6" ht="16.149999999999999" customHeight="1" x14ac:dyDescent="0.25">
      <c r="A13" s="2"/>
      <c r="B13" s="9"/>
      <c r="C13" s="10" t="s">
        <v>18</v>
      </c>
      <c r="D13" s="15"/>
      <c r="E13" s="18">
        <f>SUM(E4:E12)</f>
        <v>499000</v>
      </c>
      <c r="F13" s="3"/>
    </row>
    <row r="14" spans="1:6" ht="18" customHeight="1" x14ac:dyDescent="0.25">
      <c r="A14" s="2"/>
      <c r="B14" s="2"/>
      <c r="C14" s="10" t="s">
        <v>19</v>
      </c>
      <c r="D14" s="16"/>
      <c r="E14" s="16">
        <v>573850</v>
      </c>
      <c r="F14" s="3"/>
    </row>
    <row r="15" spans="1:6" x14ac:dyDescent="0.25">
      <c r="A15" s="2"/>
      <c r="B15" s="2"/>
      <c r="C15" s="6" t="s">
        <v>14</v>
      </c>
      <c r="D15" s="17"/>
      <c r="E15" s="19">
        <f>E14*18%</f>
        <v>103293</v>
      </c>
      <c r="F15" s="3"/>
    </row>
    <row r="16" spans="1:6" x14ac:dyDescent="0.25">
      <c r="A16" s="2"/>
      <c r="B16" s="2"/>
      <c r="C16" s="6" t="s">
        <v>15</v>
      </c>
      <c r="D16" s="17"/>
      <c r="E16" s="19">
        <f>SUM(E14:E15)</f>
        <v>677143</v>
      </c>
      <c r="F16" s="3"/>
    </row>
    <row r="17" spans="1:6" x14ac:dyDescent="0.25">
      <c r="E17" s="20"/>
    </row>
    <row r="20" spans="1:6" x14ac:dyDescent="0.25">
      <c r="A20" s="1" t="s">
        <v>0</v>
      </c>
      <c r="B20" s="1"/>
      <c r="C20" s="2"/>
      <c r="D20" s="2"/>
      <c r="E20" s="2"/>
      <c r="F20" s="3"/>
    </row>
    <row r="21" spans="1:6" x14ac:dyDescent="0.25">
      <c r="A21" s="4" t="s">
        <v>1</v>
      </c>
      <c r="B21" s="2"/>
      <c r="C21" s="5" t="s">
        <v>2</v>
      </c>
      <c r="D21" s="21"/>
      <c r="E21" s="22"/>
      <c r="F21" s="3"/>
    </row>
    <row r="22" spans="1:6" x14ac:dyDescent="0.25">
      <c r="A22" s="6" t="s">
        <v>3</v>
      </c>
      <c r="B22" s="6" t="s">
        <v>4</v>
      </c>
      <c r="C22" s="6" t="s">
        <v>5</v>
      </c>
      <c r="D22" s="6" t="s">
        <v>17</v>
      </c>
      <c r="E22" s="6" t="s">
        <v>6</v>
      </c>
      <c r="F22" s="6" t="s">
        <v>16</v>
      </c>
    </row>
    <row r="23" spans="1:6" x14ac:dyDescent="0.25">
      <c r="A23" s="2" t="s">
        <v>7</v>
      </c>
      <c r="B23" s="12" t="s">
        <v>28</v>
      </c>
      <c r="C23" s="8">
        <v>1</v>
      </c>
      <c r="D23" s="13">
        <v>11500</v>
      </c>
      <c r="E23" s="13">
        <v>11500</v>
      </c>
      <c r="F23" s="3"/>
    </row>
    <row r="24" spans="1:6" ht="30" x14ac:dyDescent="0.25">
      <c r="A24" s="2" t="s">
        <v>8</v>
      </c>
      <c r="B24" s="11" t="s">
        <v>23</v>
      </c>
      <c r="C24" s="8">
        <v>1</v>
      </c>
      <c r="D24" s="13">
        <v>28000</v>
      </c>
      <c r="E24" s="13">
        <v>28000</v>
      </c>
      <c r="F24" s="3"/>
    </row>
    <row r="25" spans="1:6" ht="30" x14ac:dyDescent="0.25">
      <c r="A25" s="2" t="s">
        <v>9</v>
      </c>
      <c r="B25" s="7" t="s">
        <v>22</v>
      </c>
      <c r="C25" s="8">
        <v>1</v>
      </c>
      <c r="D25" s="13">
        <v>52000</v>
      </c>
      <c r="E25" s="13">
        <v>52000</v>
      </c>
      <c r="F25" s="3"/>
    </row>
    <row r="26" spans="1:6" x14ac:dyDescent="0.25">
      <c r="A26" s="2" t="s">
        <v>10</v>
      </c>
      <c r="B26" t="s">
        <v>21</v>
      </c>
      <c r="C26" s="8">
        <v>1</v>
      </c>
      <c r="D26" s="13">
        <v>9500</v>
      </c>
      <c r="E26" s="13">
        <v>9500</v>
      </c>
      <c r="F26" s="3"/>
    </row>
    <row r="27" spans="1:6" x14ac:dyDescent="0.25">
      <c r="A27" s="2" t="s">
        <v>11</v>
      </c>
      <c r="B27" s="7" t="s">
        <v>30</v>
      </c>
      <c r="C27" s="8">
        <v>2</v>
      </c>
      <c r="D27" s="13">
        <v>63000</v>
      </c>
      <c r="E27" s="13">
        <v>145000</v>
      </c>
      <c r="F27" s="3"/>
    </row>
    <row r="28" spans="1:6" x14ac:dyDescent="0.25">
      <c r="A28" s="2" t="s">
        <v>12</v>
      </c>
      <c r="B28" s="7" t="s">
        <v>31</v>
      </c>
      <c r="C28" s="8">
        <v>1</v>
      </c>
      <c r="D28" s="13">
        <v>24000</v>
      </c>
      <c r="E28" s="13">
        <v>48000</v>
      </c>
      <c r="F28" s="3"/>
    </row>
    <row r="29" spans="1:6" x14ac:dyDescent="0.25">
      <c r="A29" s="2" t="s">
        <v>12</v>
      </c>
      <c r="B29" s="7" t="s">
        <v>24</v>
      </c>
      <c r="C29" s="8">
        <v>1</v>
      </c>
      <c r="D29" s="13">
        <v>9000</v>
      </c>
      <c r="E29" s="13">
        <v>9000</v>
      </c>
      <c r="F29" s="3"/>
    </row>
    <row r="30" spans="1:6" x14ac:dyDescent="0.25">
      <c r="A30" s="2" t="s">
        <v>20</v>
      </c>
      <c r="B30" s="7" t="s">
        <v>26</v>
      </c>
      <c r="C30" s="8">
        <v>1</v>
      </c>
      <c r="D30" s="13">
        <v>285000</v>
      </c>
      <c r="E30" s="13">
        <v>285000</v>
      </c>
      <c r="F30" s="3"/>
    </row>
    <row r="31" spans="1:6" x14ac:dyDescent="0.25">
      <c r="A31" s="2" t="s">
        <v>13</v>
      </c>
      <c r="B31" t="s">
        <v>34</v>
      </c>
      <c r="C31" s="8">
        <v>1</v>
      </c>
      <c r="D31" s="14">
        <v>8500</v>
      </c>
      <c r="E31" s="14">
        <v>9000</v>
      </c>
      <c r="F31" s="3"/>
    </row>
    <row r="32" spans="1:6" x14ac:dyDescent="0.25">
      <c r="A32" s="2"/>
      <c r="B32" s="9"/>
      <c r="C32" s="10" t="s">
        <v>18</v>
      </c>
      <c r="D32" s="15"/>
      <c r="E32" s="18">
        <f>SUM(E23:E31)</f>
        <v>597000</v>
      </c>
      <c r="F32" s="3"/>
    </row>
    <row r="33" spans="1:6" x14ac:dyDescent="0.25">
      <c r="A33" s="2"/>
      <c r="B33" s="2"/>
      <c r="C33" s="10" t="s">
        <v>29</v>
      </c>
      <c r="D33" s="16"/>
      <c r="E33" s="16">
        <v>686550</v>
      </c>
      <c r="F33" s="3"/>
    </row>
    <row r="34" spans="1:6" x14ac:dyDescent="0.25">
      <c r="A34" s="2"/>
      <c r="B34" s="2"/>
      <c r="C34" s="6" t="s">
        <v>14</v>
      </c>
      <c r="D34" s="17"/>
      <c r="E34" s="19">
        <v>123579</v>
      </c>
      <c r="F34" s="3"/>
    </row>
    <row r="35" spans="1:6" x14ac:dyDescent="0.25">
      <c r="A35" s="2"/>
      <c r="B35" s="2"/>
      <c r="C35" s="6" t="s">
        <v>15</v>
      </c>
      <c r="D35" s="17"/>
      <c r="E35" s="19">
        <v>810129</v>
      </c>
      <c r="F35" s="3"/>
    </row>
  </sheetData>
  <mergeCells count="2">
    <mergeCell ref="D2:E2"/>
    <mergeCell ref="D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2026-08-22T14:21:50Z</dcterms:modified>
</cp:coreProperties>
</file>