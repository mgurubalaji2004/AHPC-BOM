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0" i="1" l="1"/>
  <c r="F181" i="1" s="1"/>
  <c r="F179" i="1"/>
  <c r="F182" i="1" l="1"/>
  <c r="F183" i="1" s="1"/>
  <c r="E67" i="1" l="1"/>
  <c r="F170" i="1"/>
  <c r="F171" i="1"/>
  <c r="F172" i="1" s="1"/>
  <c r="E171" i="1"/>
  <c r="E172" i="1" s="1"/>
  <c r="F151" i="1"/>
  <c r="E115" i="1"/>
  <c r="E78" i="1"/>
  <c r="E77" i="1"/>
  <c r="E132" i="1"/>
  <c r="F131" i="1"/>
  <c r="F132" i="1" s="1"/>
  <c r="E146" i="1"/>
  <c r="E165" i="1"/>
  <c r="E170" i="1"/>
  <c r="E151" i="1"/>
  <c r="E152" i="1" s="1"/>
  <c r="E48" i="1"/>
  <c r="F48" i="1" s="1"/>
  <c r="E62" i="1"/>
  <c r="E66" i="1" s="1"/>
  <c r="E114" i="1"/>
  <c r="F114" i="1" s="1"/>
  <c r="F115" i="1" s="1"/>
  <c r="F116" i="1" s="1"/>
  <c r="F117" i="1" s="1"/>
  <c r="E68" i="1" l="1"/>
  <c r="E69" i="1" s="1"/>
  <c r="E70" i="1" s="1"/>
  <c r="F174" i="1"/>
  <c r="F173" i="1"/>
  <c r="E173" i="1"/>
  <c r="E174" i="1" s="1"/>
  <c r="F152" i="1"/>
  <c r="F153" i="1" s="1"/>
  <c r="E153" i="1"/>
  <c r="E154" i="1" s="1"/>
  <c r="E155" i="1" s="1"/>
  <c r="E116" i="1"/>
  <c r="F118" i="1"/>
  <c r="E88" i="1"/>
  <c r="F133" i="1"/>
  <c r="F134" i="1" s="1"/>
  <c r="F49" i="1"/>
  <c r="F50" i="1" s="1"/>
  <c r="F51" i="1" s="1"/>
  <c r="F52" i="1" s="1"/>
  <c r="E49" i="1"/>
  <c r="E50" i="1" s="1"/>
  <c r="F135" i="1"/>
  <c r="E133" i="1"/>
  <c r="E134" i="1" s="1"/>
  <c r="E135" i="1" s="1"/>
  <c r="E117" i="1"/>
  <c r="E118" i="1" s="1"/>
  <c r="F155" i="1" l="1"/>
  <c r="F154" i="1"/>
  <c r="E97" i="1"/>
  <c r="E98" i="1" s="1"/>
  <c r="E89" i="1"/>
  <c r="E90" i="1" s="1"/>
  <c r="E91" i="1" s="1"/>
  <c r="E92" i="1" s="1"/>
  <c r="F88" i="1"/>
  <c r="E51" i="1"/>
  <c r="E52" i="1" s="1"/>
  <c r="F97" i="1" l="1"/>
  <c r="F89" i="1"/>
  <c r="F90" i="1" s="1"/>
  <c r="F91" i="1" s="1"/>
  <c r="F92" i="1" s="1"/>
  <c r="F98" i="1"/>
  <c r="F99" i="1" s="1"/>
  <c r="E99" i="1"/>
  <c r="F100" i="1" l="1"/>
  <c r="F101" i="1" s="1"/>
  <c r="E100" i="1"/>
  <c r="E101" i="1" s="1"/>
</calcChain>
</file>

<file path=xl/sharedStrings.xml><?xml version="1.0" encoding="utf-8"?>
<sst xmlns="http://schemas.openxmlformats.org/spreadsheetml/2006/main" count="302" uniqueCount="121">
  <si>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</si>
  <si>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</si>
  <si>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</si>
  <si>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</si>
  <si>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</si>
  <si>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</si>
  <si>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</si>
  <si>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</si>
  <si>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</si>
  <si>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</si>
  <si>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</si>
  <si>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</si>
  <si>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</si>
  <si>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</si>
  <si>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</si>
  <si>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</si>
  <si>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</si>
  <si>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</si>
  <si>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</si>
  <si>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GPU</t>
  </si>
  <si>
    <t>Intel® Core™ i7-14700 Processor (14th Gen, 20 Core, 28 Thread, Up to 5.4GHz, 33MB Cache)</t>
  </si>
  <si>
    <t>GIGABYTE B760M AORUS ELITE AX</t>
  </si>
  <si>
    <t>ATX Tower Chassis</t>
  </si>
  <si>
    <t xml:space="preserve">CPU Cooler </t>
  </si>
  <si>
    <t xml:space="preserve">NVIDIA GeForce RTX 5060 Ti 16GB </t>
  </si>
  <si>
    <t>360mm Liquid CPU Cooler</t>
  </si>
  <si>
    <t xml:space="preserve">650W 80 PLUS Gold Power Supply </t>
  </si>
  <si>
    <t xml:space="preserve">2TB NVMe PCIe 4.0 SSD </t>
  </si>
  <si>
    <t xml:space="preserve">AMD Ryzen™ 9 7900X Desktop Processor (12 Core, 24 Thread, 4.7GHz Base, Up to 5.6GHz, 64MB L3 Cache, 170W, AM5) </t>
  </si>
  <si>
    <t xml:space="preserve">64GB DDR5 5600MT/s </t>
  </si>
  <si>
    <t>280mm Liquid CPU Cooler</t>
  </si>
  <si>
    <t xml:space="preserve">1000W 80+ Gold Power Supply </t>
  </si>
  <si>
    <t>2TB SATA SSD</t>
  </si>
  <si>
    <t>AX B850M-PLUS S Wifi 7 V14 Motherboard</t>
  </si>
  <si>
    <t>IIT Hyderabad</t>
  </si>
  <si>
    <t>Worstation for editing</t>
  </si>
  <si>
    <t>RTX 5060 16GB Ti Graphics card</t>
  </si>
  <si>
    <t xml:space="preserve">1TB NVMe PCIe 4.0 SSD </t>
  </si>
  <si>
    <t xml:space="preserve">SMPS 1050W Power Supply </t>
  </si>
  <si>
    <t>Monitor</t>
  </si>
  <si>
    <t>NIC</t>
  </si>
  <si>
    <t>10G dual card</t>
  </si>
  <si>
    <t>Keyboard &amp; Mouse</t>
  </si>
  <si>
    <t>Wired Keyboard &amp; Mouse</t>
  </si>
  <si>
    <t>HDD</t>
  </si>
  <si>
    <t>Heatsink</t>
  </si>
  <si>
    <t>Intel® Xeon® Silver 4310 Processor (12 Core, 24 Thread, 2.10GHz Base, Up to 3.40GHz, 18MB Cache, 120W)</t>
  </si>
  <si>
    <t xml:space="preserve">     </t>
  </si>
  <si>
    <t xml:space="preserve">      </t>
  </si>
  <si>
    <t>Qut</t>
  </si>
  <si>
    <t>Intel® Xeon® Gold 6254 Processor (18 Core, 36 Thread, 3.10GHz Base, Up to 4.00GHz, 24.75MB Cache)</t>
  </si>
  <si>
    <t>960GB SATA SSD</t>
  </si>
  <si>
    <t xml:space="preserve">Keyboard &amp; Mouse </t>
  </si>
  <si>
    <t xml:space="preserve">Wired Keyboard &amp; Mouse </t>
  </si>
  <si>
    <t>Dual 10G Card</t>
  </si>
  <si>
    <t>1600W 80 PLUS Platinum Server Power Supply</t>
  </si>
  <si>
    <t xml:space="preserve">Copilance server storage </t>
  </si>
  <si>
    <t>Off line Graphics</t>
  </si>
  <si>
    <t>Online Graphics</t>
  </si>
  <si>
    <t>960GB M.2 NVMe SSD</t>
  </si>
  <si>
    <t>Chebro SR 11369</t>
  </si>
  <si>
    <t>9460-16i</t>
  </si>
  <si>
    <t xml:space="preserve">Dynatron B5 </t>
  </si>
  <si>
    <t xml:space="preserve">64GB DDR4 2666MHz </t>
  </si>
  <si>
    <t>X11DPI-N</t>
  </si>
  <si>
    <t xml:space="preserve"> </t>
  </si>
  <si>
    <t>From</t>
  </si>
  <si>
    <t xml:space="preserve">mATX Mid Tower </t>
  </si>
  <si>
    <t xml:space="preserve">B760M </t>
  </si>
  <si>
    <t>Intel® Core™ i7-14700 Processor</t>
  </si>
  <si>
    <t>Liquid Cooler</t>
  </si>
  <si>
    <t>32GB DDR5 4800 MT/s</t>
  </si>
  <si>
    <t>512 GB NVMe</t>
  </si>
  <si>
    <t>650 power supply</t>
  </si>
  <si>
    <t>24 inch Monitor</t>
  </si>
  <si>
    <t>keyboard Mouse</t>
  </si>
  <si>
    <t>Dell Wired Keyboard and Mouse</t>
  </si>
  <si>
    <t>ATX Mid Tower</t>
  </si>
  <si>
    <t>512 GB NVMe SSD</t>
  </si>
  <si>
    <t>650 W POWER SUPPLY</t>
  </si>
  <si>
    <t>Desktop News&amp; Digital</t>
  </si>
  <si>
    <t>Desktop for Client</t>
  </si>
  <si>
    <t>64GB DDR4 ECC RAM</t>
  </si>
  <si>
    <t>Server FTP, Tally</t>
  </si>
  <si>
    <t>Mitac single socket</t>
  </si>
  <si>
    <t xml:space="preserve">256GB SATA SSD </t>
  </si>
  <si>
    <t>8TB SATA HDD</t>
  </si>
  <si>
    <t xml:space="preserve">RTX 5060Ti 16GB </t>
  </si>
  <si>
    <t>BenQ GW3290QT 32 Inch Monitor</t>
  </si>
  <si>
    <t>Intel® Core™ i5-14400 Processor (10-Cores, base freq 2.50 GHz and max freq 4.7GHz, Cache 20MB)</t>
  </si>
  <si>
    <t>B760M Gaming WIFI6E</t>
  </si>
  <si>
    <t>24" Inch Monitor</t>
  </si>
  <si>
    <t>16 GB DDR5 5600MT/s</t>
  </si>
  <si>
    <t xml:space="preserve">Intel® Core™ i9-14900K Processor </t>
  </si>
  <si>
    <t>INCOmin</t>
  </si>
  <si>
    <t>64GB DDR4</t>
  </si>
  <si>
    <t>480GB SATA SSD</t>
  </si>
  <si>
    <t>16TB SAS HDD</t>
  </si>
  <si>
    <t>4ET</t>
  </si>
  <si>
    <t>/dual port 25G sfp+ Network card x1no</t>
  </si>
  <si>
    <t xml:space="preserve">Quad Port NIC 10G </t>
  </si>
  <si>
    <t>1200W RPS</t>
  </si>
  <si>
    <t>PSU</t>
  </si>
  <si>
    <t>16TB SATA HDD</t>
  </si>
  <si>
    <t>STORAG</t>
  </si>
  <si>
    <t>2U</t>
  </si>
  <si>
    <t>Arihant</t>
  </si>
  <si>
    <t>32GB DDR5 6000MHz</t>
  </si>
  <si>
    <t xml:space="preserve"> WIFI6E  Z790 UD AX</t>
  </si>
  <si>
    <t>RTX 4000 Blackwell</t>
  </si>
  <si>
    <t>MD72-HB2</t>
  </si>
  <si>
    <t>2 x Intel® Xeon® Silver 4510 Processor</t>
  </si>
  <si>
    <t>1000W ATX</t>
  </si>
  <si>
    <t xml:space="preserve">Tower Chassis </t>
  </si>
  <si>
    <t>Ultra 5-226V/16gb,5/512ssd/W11Home/2024+365/Ice blue/1yrs NBD</t>
  </si>
  <si>
    <t xml:space="preserve">Unit Price </t>
  </si>
  <si>
    <t>Unit Price</t>
  </si>
  <si>
    <t>Laptop</t>
  </si>
  <si>
    <t>QTY</t>
  </si>
  <si>
    <t>Unit price</t>
  </si>
  <si>
    <t>Unit Pprice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</si>
</sst>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Segoe U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4" borderId="1" xfId="0" applyFill="1" applyBorder="1" applyAlignment="1">
      <alignment wrapText="1"/>
    </xf>
    <xf numFmtId="3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0" fillId="4" borderId="2" xfId="0" applyFill="1" applyBorder="1" applyAlignment="1">
      <alignment wrapText="1"/>
    </xf>
    <xf numFmtId="4" fontId="0" fillId="0" borderId="2" xfId="0" applyNumberFormat="1" applyBorder="1" applyAlignment="1">
      <alignment horizontal="center" wrapText="1"/>
    </xf>
    <xf numFmtId="0" fontId="0" fillId="0" borderId="4" xfId="0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vertical="center" readingOrder="1"/>
    </xf>
    <xf numFmtId="0" fontId="6" fillId="0" borderId="1" xfId="0" applyFont="1" applyBorder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horizontal="right" readingOrder="1"/>
    </xf>
    <xf numFmtId="0" fontId="6" fillId="0" borderId="0" xfId="0" applyFont="1"/>
    <xf numFmtId="0" fontId="6" fillId="0" borderId="1" xfId="0" applyFont="1" applyBorder="1" applyAlignment="1">
      <alignment vertical="top"/>
    </xf>
    <xf numFmtId="3" fontId="6" fillId="0" borderId="1" xfId="0" applyNumberFormat="1" applyFont="1" applyBorder="1" applyAlignment="1">
      <alignment horizontal="right" wrapText="1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wrapText="1"/>
    </xf>
    <xf numFmtId="4" fontId="6" fillId="0" borderId="1" xfId="0" applyNumberFormat="1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vertical="top" wrapText="1"/>
    </xf>
    <xf numFmtId="4" fontId="6" fillId="5" borderId="1" xfId="0" applyNumberFormat="1" applyFont="1" applyFill="1" applyBorder="1" applyAlignment="1">
      <alignment horizontal="center" vertical="top" wrapText="1"/>
    </xf>
    <xf numFmtId="4" fontId="7" fillId="0" borderId="1" xfId="0" applyNumberFormat="1" applyFont="1" applyBorder="1" applyAlignment="1">
      <alignment horizontal="right"/>
    </xf>
    <xf numFmtId="0" fontId="0" fillId="6" borderId="0" xfId="0" applyFill="1"/>
    <xf numFmtId="0" fontId="0" fillId="7" borderId="0" xfId="0" applyFill="1"/>
    <xf numFmtId="0" fontId="6" fillId="0" borderId="5" xfId="0" applyFont="1" applyBorder="1"/>
    <xf numFmtId="4" fontId="6" fillId="0" borderId="5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0" fontId="0" fillId="7" borderId="1" xfId="0" applyFill="1" applyBorder="1"/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3"/>
  <sheetViews>
    <sheetView tabSelected="1" topLeftCell="A127" zoomScale="85" zoomScaleNormal="85" workbookViewId="0">
      <selection activeCell="H144" sqref="H144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6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59"/>
      <c r="E2" s="60"/>
      <c r="F2" s="3"/>
    </row>
    <row r="3" spans="1:6" ht="30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15</v>
      </c>
    </row>
    <row r="4" spans="1:6" x14ac:dyDescent="0.25">
      <c r="A4" s="29" t="s">
        <v>7</v>
      </c>
      <c r="B4" s="3" t="s">
        <v>22</v>
      </c>
      <c r="C4" s="8">
        <v>1</v>
      </c>
      <c r="D4" s="12"/>
      <c r="E4" s="12"/>
      <c r="F4" s="3"/>
    </row>
    <row r="5" spans="1:6" x14ac:dyDescent="0.25">
      <c r="A5" s="29" t="s">
        <v>8</v>
      </c>
      <c r="B5" s="20" t="s">
        <v>21</v>
      </c>
      <c r="C5" s="8">
        <v>1</v>
      </c>
      <c r="D5" s="12"/>
      <c r="E5" s="12"/>
      <c r="F5" s="3"/>
    </row>
    <row r="6" spans="1:6" ht="30" x14ac:dyDescent="0.25">
      <c r="A6" s="29" t="s">
        <v>9</v>
      </c>
      <c r="B6" s="7" t="s">
        <v>20</v>
      </c>
      <c r="C6" s="8">
        <v>1</v>
      </c>
      <c r="D6" s="12"/>
      <c r="E6" s="12"/>
      <c r="F6" s="3"/>
    </row>
    <row r="7" spans="1:6" x14ac:dyDescent="0.25">
      <c r="A7" s="29" t="s">
        <v>10</v>
      </c>
      <c r="B7" s="9" t="s">
        <v>65</v>
      </c>
      <c r="C7" s="19">
        <v>1</v>
      </c>
      <c r="D7" s="12"/>
      <c r="E7" s="12"/>
      <c r="F7" s="3"/>
    </row>
    <row r="8" spans="1:6" x14ac:dyDescent="0.25">
      <c r="A8" s="29" t="s">
        <v>19</v>
      </c>
      <c r="B8" s="20" t="s">
        <v>24</v>
      </c>
      <c r="C8" s="19">
        <v>1</v>
      </c>
      <c r="D8" s="12"/>
      <c r="E8" s="12"/>
      <c r="F8" s="3"/>
    </row>
    <row r="9" spans="1:6" x14ac:dyDescent="0.25">
      <c r="A9" s="29" t="s">
        <v>11</v>
      </c>
      <c r="B9" s="20" t="s">
        <v>27</v>
      </c>
      <c r="C9" s="8">
        <v>1</v>
      </c>
      <c r="D9" s="12"/>
      <c r="E9" s="12"/>
      <c r="F9" s="3"/>
    </row>
    <row r="10" spans="1:6" x14ac:dyDescent="0.25">
      <c r="A10" t="s">
        <v>23</v>
      </c>
      <c r="B10" s="20" t="s">
        <v>25</v>
      </c>
      <c r="C10" s="8">
        <v>1</v>
      </c>
      <c r="D10" s="12"/>
      <c r="E10" s="12"/>
      <c r="F10" s="3"/>
    </row>
    <row r="11" spans="1:6" x14ac:dyDescent="0.25">
      <c r="A11" s="29" t="s">
        <v>12</v>
      </c>
      <c r="B11" s="20" t="s">
        <v>26</v>
      </c>
      <c r="C11" s="8">
        <v>1</v>
      </c>
      <c r="D11" s="12"/>
      <c r="E11" s="12"/>
      <c r="F11" s="3"/>
    </row>
    <row r="12" spans="1:6" ht="16.149999999999999" customHeight="1" x14ac:dyDescent="0.25">
      <c r="A12" s="2"/>
      <c r="B12" s="10"/>
      <c r="C12" s="11" t="s">
        <v>17</v>
      </c>
      <c r="D12" s="13"/>
      <c r="E12" s="18"/>
      <c r="F12" s="3"/>
    </row>
    <row r="13" spans="1:6" ht="18" customHeight="1" x14ac:dyDescent="0.25">
      <c r="A13" s="2"/>
      <c r="B13" s="2"/>
      <c r="C13" s="11" t="s">
        <v>18</v>
      </c>
      <c r="D13" s="14"/>
      <c r="E13" s="14"/>
      <c r="F13" s="16"/>
    </row>
    <row r="14" spans="1:6" x14ac:dyDescent="0.25">
      <c r="A14" s="2"/>
      <c r="B14" s="2"/>
      <c r="C14" s="6" t="s">
        <v>13</v>
      </c>
      <c r="D14" s="15"/>
      <c r="E14" s="17"/>
      <c r="F14" s="16"/>
    </row>
    <row r="15" spans="1:6" x14ac:dyDescent="0.25">
      <c r="A15" s="2"/>
      <c r="B15" s="2"/>
      <c r="C15" s="6" t="s">
        <v>14</v>
      </c>
      <c r="D15" s="15"/>
      <c r="E15" s="17"/>
      <c r="F15" s="16"/>
    </row>
    <row r="18" spans="1:6" x14ac:dyDescent="0.25">
      <c r="A18" s="4" t="s">
        <v>1</v>
      </c>
      <c r="B18" s="2" t="s">
        <v>34</v>
      </c>
      <c r="C18" s="5" t="s">
        <v>2</v>
      </c>
      <c r="D18" s="59"/>
      <c r="E18" s="60"/>
      <c r="F18" s="3"/>
    </row>
    <row r="19" spans="1:6" ht="30" x14ac:dyDescent="0.25">
      <c r="A19" s="6" t="s">
        <v>3</v>
      </c>
      <c r="B19" s="6" t="s">
        <v>4</v>
      </c>
      <c r="C19" s="6" t="s">
        <v>5</v>
      </c>
      <c r="D19" s="6" t="s">
        <v>16</v>
      </c>
      <c r="E19" s="6" t="s">
        <v>6</v>
      </c>
      <c r="F19" s="6" t="s">
        <v>15</v>
      </c>
    </row>
    <row r="20" spans="1:6" x14ac:dyDescent="0.25">
      <c r="A20" s="29" t="s">
        <v>7</v>
      </c>
      <c r="B20" s="3" t="s">
        <v>22</v>
      </c>
      <c r="C20" s="8">
        <v>1</v>
      </c>
      <c r="D20" s="12">
        <v>7500</v>
      </c>
      <c r="E20" s="12"/>
      <c r="F20" s="3"/>
    </row>
    <row r="21" spans="1:6" x14ac:dyDescent="0.25">
      <c r="A21" s="29" t="s">
        <v>8</v>
      </c>
      <c r="B21" s="20" t="s">
        <v>33</v>
      </c>
      <c r="C21" s="8">
        <v>1</v>
      </c>
      <c r="D21" s="12">
        <v>14500</v>
      </c>
      <c r="E21" s="12"/>
      <c r="F21" s="3"/>
    </row>
    <row r="22" spans="1:6" ht="45" x14ac:dyDescent="0.25">
      <c r="A22" s="29" t="s">
        <v>9</v>
      </c>
      <c r="B22" s="7" t="s">
        <v>28</v>
      </c>
      <c r="C22" s="8">
        <v>1</v>
      </c>
      <c r="D22" s="12"/>
      <c r="E22" s="12"/>
      <c r="F22" s="3"/>
    </row>
    <row r="23" spans="1:6" x14ac:dyDescent="0.25">
      <c r="A23" s="29" t="s">
        <v>10</v>
      </c>
      <c r="B23" s="9" t="s">
        <v>29</v>
      </c>
      <c r="C23" s="8">
        <v>1</v>
      </c>
      <c r="D23" s="12">
        <v>110000</v>
      </c>
      <c r="E23" s="12"/>
      <c r="F23" s="3"/>
    </row>
    <row r="24" spans="1:6" x14ac:dyDescent="0.25">
      <c r="A24" s="29" t="s">
        <v>11</v>
      </c>
      <c r="B24" s="20" t="s">
        <v>32</v>
      </c>
      <c r="C24" s="8">
        <v>1</v>
      </c>
      <c r="D24" s="12"/>
      <c r="E24" s="12"/>
      <c r="F24" s="3"/>
    </row>
    <row r="25" spans="1:6" x14ac:dyDescent="0.25">
      <c r="A25" s="29" t="s">
        <v>11</v>
      </c>
      <c r="B25" s="20" t="s">
        <v>27</v>
      </c>
      <c r="C25" s="8">
        <v>1</v>
      </c>
      <c r="D25" s="12">
        <v>27000</v>
      </c>
      <c r="E25" s="12"/>
      <c r="F25" s="3"/>
    </row>
    <row r="26" spans="1:6" x14ac:dyDescent="0.25">
      <c r="A26" t="s">
        <v>23</v>
      </c>
      <c r="B26" s="20" t="s">
        <v>30</v>
      </c>
      <c r="C26" s="8">
        <v>1</v>
      </c>
      <c r="D26" s="12"/>
      <c r="E26" s="12"/>
      <c r="F26" s="3"/>
    </row>
    <row r="27" spans="1:6" x14ac:dyDescent="0.25">
      <c r="A27" s="29" t="s">
        <v>12</v>
      </c>
      <c r="B27" s="20" t="s">
        <v>31</v>
      </c>
      <c r="C27" s="8">
        <v>1</v>
      </c>
      <c r="D27" s="12">
        <v>12500</v>
      </c>
      <c r="E27" s="12"/>
      <c r="F27" s="3"/>
    </row>
    <row r="28" spans="1:6" x14ac:dyDescent="0.25">
      <c r="A28" s="29"/>
      <c r="B28" s="10"/>
      <c r="C28" s="11" t="s">
        <v>17</v>
      </c>
      <c r="D28" s="13"/>
      <c r="E28" s="18"/>
      <c r="F28" s="3"/>
    </row>
    <row r="29" spans="1:6" ht="30" x14ac:dyDescent="0.25">
      <c r="A29" s="2"/>
      <c r="B29" s="2"/>
      <c r="C29" s="11" t="s">
        <v>18</v>
      </c>
      <c r="D29" s="14"/>
      <c r="E29" s="14"/>
      <c r="F29" s="16"/>
    </row>
    <row r="30" spans="1:6" x14ac:dyDescent="0.25">
      <c r="A30" s="2"/>
      <c r="B30" s="2"/>
      <c r="C30" s="6" t="s">
        <v>13</v>
      </c>
      <c r="D30" s="15"/>
      <c r="E30" s="17"/>
      <c r="F30" s="16"/>
    </row>
    <row r="31" spans="1:6" x14ac:dyDescent="0.25">
      <c r="A31" s="2"/>
      <c r="B31" s="2"/>
      <c r="C31" s="6" t="s">
        <v>14</v>
      </c>
      <c r="D31" s="15"/>
      <c r="E31" s="17"/>
      <c r="F31" s="16"/>
    </row>
    <row r="32" spans="1:6" x14ac:dyDescent="0.25">
      <c r="A32" s="53"/>
      <c r="B32" s="53"/>
      <c r="C32" s="53"/>
      <c r="D32" s="53"/>
      <c r="E32" s="53"/>
      <c r="F32" s="53"/>
    </row>
    <row r="33" spans="1:6" x14ac:dyDescent="0.25">
      <c r="A33" s="53"/>
      <c r="B33" s="53"/>
      <c r="C33" s="53"/>
      <c r="D33" s="53"/>
      <c r="E33" s="53"/>
      <c r="F33" s="53"/>
    </row>
    <row r="34" spans="1:6" x14ac:dyDescent="0.25">
      <c r="A34" s="4" t="s">
        <v>1</v>
      </c>
      <c r="B34" s="2" t="s">
        <v>35</v>
      </c>
      <c r="C34" s="5" t="s">
        <v>2</v>
      </c>
      <c r="D34" s="59"/>
      <c r="E34" s="60"/>
      <c r="F34" s="3"/>
    </row>
    <row r="35" spans="1:6" ht="30" x14ac:dyDescent="0.25">
      <c r="A35" s="6" t="s">
        <v>3</v>
      </c>
      <c r="B35" s="6" t="s">
        <v>4</v>
      </c>
      <c r="C35" s="6" t="s">
        <v>5</v>
      </c>
      <c r="D35" s="6" t="s">
        <v>16</v>
      </c>
      <c r="E35" s="6" t="s">
        <v>6</v>
      </c>
      <c r="F35" s="6" t="s">
        <v>15</v>
      </c>
    </row>
    <row r="36" spans="1:6" x14ac:dyDescent="0.25">
      <c r="A36" s="2" t="s">
        <v>7</v>
      </c>
      <c r="B36" s="3" t="s">
        <v>113</v>
      </c>
      <c r="C36" s="8">
        <v>1</v>
      </c>
      <c r="D36" s="12">
        <v>10000</v>
      </c>
      <c r="E36" s="12">
        <v>10000</v>
      </c>
      <c r="F36" s="3"/>
    </row>
    <row r="37" spans="1:6" x14ac:dyDescent="0.25">
      <c r="A37" s="2" t="s">
        <v>8</v>
      </c>
      <c r="B37" s="20" t="s">
        <v>108</v>
      </c>
      <c r="C37" s="8">
        <v>1</v>
      </c>
      <c r="D37" s="12">
        <v>20200</v>
      </c>
      <c r="E37" s="12">
        <v>20200</v>
      </c>
      <c r="F37" s="3"/>
    </row>
    <row r="38" spans="1:6" x14ac:dyDescent="0.25">
      <c r="A38" s="2" t="s">
        <v>9</v>
      </c>
      <c r="B38" s="7" t="s">
        <v>93</v>
      </c>
      <c r="C38" s="8">
        <v>1</v>
      </c>
      <c r="D38" s="12">
        <v>39800</v>
      </c>
      <c r="E38" s="12">
        <v>45000</v>
      </c>
      <c r="F38" s="3"/>
    </row>
    <row r="39" spans="1:6" x14ac:dyDescent="0.25">
      <c r="A39" s="2" t="s">
        <v>10</v>
      </c>
      <c r="B39" s="9" t="s">
        <v>107</v>
      </c>
      <c r="C39" s="8">
        <v>2</v>
      </c>
      <c r="D39" s="12">
        <v>60000</v>
      </c>
      <c r="E39" s="12">
        <v>120000</v>
      </c>
      <c r="F39" s="3"/>
    </row>
    <row r="40" spans="1:6" x14ac:dyDescent="0.25">
      <c r="A40" s="2" t="s">
        <v>19</v>
      </c>
      <c r="B40" s="9" t="s">
        <v>36</v>
      </c>
      <c r="C40" s="8">
        <v>1</v>
      </c>
      <c r="D40" s="12">
        <v>175000</v>
      </c>
      <c r="E40" s="12">
        <v>175000</v>
      </c>
      <c r="F40" s="3"/>
    </row>
    <row r="41" spans="1:6" x14ac:dyDescent="0.25">
      <c r="A41" s="2" t="s">
        <v>11</v>
      </c>
      <c r="B41" s="20" t="s">
        <v>32</v>
      </c>
      <c r="C41" s="8">
        <v>1</v>
      </c>
      <c r="D41" s="12">
        <v>23000</v>
      </c>
      <c r="E41" s="12">
        <v>23000</v>
      </c>
      <c r="F41" s="3"/>
    </row>
    <row r="42" spans="1:6" x14ac:dyDescent="0.25">
      <c r="A42" s="2" t="s">
        <v>11</v>
      </c>
      <c r="B42" s="20" t="s">
        <v>37</v>
      </c>
      <c r="C42" s="8">
        <v>1</v>
      </c>
      <c r="D42" s="12">
        <v>15000</v>
      </c>
      <c r="E42" s="12">
        <v>17500</v>
      </c>
      <c r="F42" s="3"/>
    </row>
    <row r="43" spans="1:6" x14ac:dyDescent="0.25">
      <c r="A43" s="3" t="s">
        <v>23</v>
      </c>
      <c r="B43" s="20" t="s">
        <v>25</v>
      </c>
      <c r="C43" s="8">
        <v>1</v>
      </c>
      <c r="D43" s="12">
        <v>7500</v>
      </c>
      <c r="E43" s="12">
        <v>7500</v>
      </c>
      <c r="F43" s="3"/>
    </row>
    <row r="44" spans="1:6" x14ac:dyDescent="0.25">
      <c r="A44" s="2" t="s">
        <v>40</v>
      </c>
      <c r="B44" s="20" t="s">
        <v>41</v>
      </c>
      <c r="C44" s="8">
        <v>1</v>
      </c>
      <c r="D44" s="12">
        <v>15000</v>
      </c>
      <c r="E44" s="12">
        <v>15000</v>
      </c>
      <c r="F44" s="3" t="s">
        <v>106</v>
      </c>
    </row>
    <row r="45" spans="1:6" ht="30" x14ac:dyDescent="0.25">
      <c r="A45" s="2" t="s">
        <v>42</v>
      </c>
      <c r="B45" s="20" t="s">
        <v>43</v>
      </c>
      <c r="C45" s="8">
        <v>1</v>
      </c>
      <c r="D45" s="12">
        <v>800</v>
      </c>
      <c r="E45" s="12">
        <v>800</v>
      </c>
      <c r="F45" s="3"/>
    </row>
    <row r="46" spans="1:6" x14ac:dyDescent="0.25">
      <c r="A46" s="2" t="s">
        <v>39</v>
      </c>
      <c r="B46" s="20" t="s">
        <v>88</v>
      </c>
      <c r="C46" s="19">
        <v>1</v>
      </c>
      <c r="D46" s="12">
        <v>35000</v>
      </c>
      <c r="E46" s="12">
        <v>35000</v>
      </c>
      <c r="F46" s="3"/>
    </row>
    <row r="47" spans="1:6" x14ac:dyDescent="0.25">
      <c r="A47" s="2" t="s">
        <v>12</v>
      </c>
      <c r="B47" s="20" t="s">
        <v>38</v>
      </c>
      <c r="C47" s="8">
        <v>1</v>
      </c>
      <c r="D47" s="12">
        <v>13000</v>
      </c>
      <c r="E47" s="12">
        <v>13000</v>
      </c>
      <c r="F47" s="3"/>
    </row>
    <row r="48" spans="1:6" x14ac:dyDescent="0.25">
      <c r="A48" s="2" t="s">
        <v>49</v>
      </c>
      <c r="B48" s="21">
        <v>15</v>
      </c>
      <c r="C48" s="8"/>
      <c r="D48" s="12" t="s">
        <v>94</v>
      </c>
      <c r="E48" s="12">
        <f>SUM(E36:E47)</f>
        <v>482000</v>
      </c>
      <c r="F48" s="3">
        <f>E48*15</f>
        <v>7230000</v>
      </c>
    </row>
    <row r="49" spans="1:12" x14ac:dyDescent="0.25">
      <c r="A49" s="2"/>
      <c r="B49" s="10"/>
      <c r="C49" s="11" t="s">
        <v>17</v>
      </c>
      <c r="D49" s="13"/>
      <c r="E49" s="14">
        <f>E48*20%</f>
        <v>96400</v>
      </c>
      <c r="F49" s="14">
        <f>F48*20%</f>
        <v>1446000</v>
      </c>
    </row>
    <row r="50" spans="1:12" ht="30" x14ac:dyDescent="0.25">
      <c r="A50" s="2"/>
      <c r="B50" s="2"/>
      <c r="C50" s="11" t="s">
        <v>18</v>
      </c>
      <c r="D50" s="14"/>
      <c r="E50" s="14">
        <f>SUM(E48:E49)</f>
        <v>578400</v>
      </c>
      <c r="F50" s="14">
        <f>SUM(F48:F49)</f>
        <v>8676000</v>
      </c>
    </row>
    <row r="51" spans="1:12" x14ac:dyDescent="0.25">
      <c r="A51" s="2"/>
      <c r="B51" s="2"/>
      <c r="C51" s="6" t="s">
        <v>13</v>
      </c>
      <c r="D51" s="15"/>
      <c r="E51" s="17">
        <f>E50*18%</f>
        <v>104112</v>
      </c>
      <c r="F51" s="17">
        <f>F50*18%</f>
        <v>1561680</v>
      </c>
    </row>
    <row r="52" spans="1:12" x14ac:dyDescent="0.25">
      <c r="A52" s="2"/>
      <c r="B52" s="2"/>
      <c r="C52" s="6" t="s">
        <v>14</v>
      </c>
      <c r="D52" s="15"/>
      <c r="E52" s="17">
        <f>SUM(E50:E51)</f>
        <v>682512</v>
      </c>
      <c r="F52" s="17">
        <f>SUM(F50:F51)</f>
        <v>10237680</v>
      </c>
    </row>
    <row r="55" spans="1:12" x14ac:dyDescent="0.25">
      <c r="A55" s="4" t="s">
        <v>1</v>
      </c>
      <c r="B55" s="2" t="s">
        <v>56</v>
      </c>
      <c r="C55" s="5" t="s">
        <v>2</v>
      </c>
      <c r="D55" s="59"/>
      <c r="E55" s="60"/>
      <c r="F55" s="3"/>
    </row>
    <row r="56" spans="1:12" ht="30" x14ac:dyDescent="0.25">
      <c r="A56" s="6" t="s">
        <v>3</v>
      </c>
      <c r="B56" s="6" t="s">
        <v>4</v>
      </c>
      <c r="C56" s="6" t="s">
        <v>5</v>
      </c>
      <c r="D56" s="6" t="s">
        <v>16</v>
      </c>
      <c r="E56" s="6" t="s">
        <v>6</v>
      </c>
      <c r="F56" s="6" t="s">
        <v>15</v>
      </c>
    </row>
    <row r="57" spans="1:12" x14ac:dyDescent="0.25">
      <c r="A57" s="2" t="s">
        <v>7</v>
      </c>
      <c r="B57" s="3"/>
      <c r="C57" s="8">
        <v>1</v>
      </c>
      <c r="D57" s="12">
        <v>25000</v>
      </c>
      <c r="E57" s="12">
        <v>25000</v>
      </c>
      <c r="F57" s="3"/>
    </row>
    <row r="58" spans="1:12" x14ac:dyDescent="0.25">
      <c r="A58" s="2" t="s">
        <v>8</v>
      </c>
      <c r="B58" s="23" t="s">
        <v>84</v>
      </c>
      <c r="C58" s="8">
        <v>1</v>
      </c>
      <c r="D58" s="12">
        <v>58500</v>
      </c>
      <c r="E58" s="12">
        <v>58500</v>
      </c>
      <c r="F58" s="3"/>
    </row>
    <row r="59" spans="1:12" ht="45" x14ac:dyDescent="0.25">
      <c r="A59" s="2" t="s">
        <v>9</v>
      </c>
      <c r="B59" s="7" t="s">
        <v>46</v>
      </c>
      <c r="C59" s="8">
        <v>1</v>
      </c>
      <c r="D59" s="12">
        <v>35000</v>
      </c>
      <c r="E59" s="12">
        <v>35000</v>
      </c>
      <c r="F59" s="3"/>
    </row>
    <row r="60" spans="1:12" x14ac:dyDescent="0.25">
      <c r="A60" s="2" t="s">
        <v>10</v>
      </c>
      <c r="B60" s="9" t="s">
        <v>63</v>
      </c>
      <c r="C60" s="8">
        <v>1</v>
      </c>
      <c r="D60" s="12">
        <v>100000</v>
      </c>
      <c r="E60" s="12">
        <v>100000</v>
      </c>
      <c r="F60" s="3"/>
    </row>
    <row r="61" spans="1:12" x14ac:dyDescent="0.25">
      <c r="A61" s="2" t="s">
        <v>19</v>
      </c>
      <c r="B61" s="9" t="s">
        <v>87</v>
      </c>
      <c r="C61" s="8">
        <v>1</v>
      </c>
      <c r="D61" s="12">
        <v>165000</v>
      </c>
      <c r="E61" s="12">
        <v>175000</v>
      </c>
      <c r="F61" s="3"/>
    </row>
    <row r="62" spans="1:12" x14ac:dyDescent="0.25">
      <c r="A62" s="2" t="s">
        <v>44</v>
      </c>
      <c r="B62" s="20" t="s">
        <v>86</v>
      </c>
      <c r="C62" s="8">
        <v>2</v>
      </c>
      <c r="D62" s="12">
        <v>33800</v>
      </c>
      <c r="E62" s="12">
        <f>D62*2</f>
        <v>67600</v>
      </c>
      <c r="F62" s="3"/>
    </row>
    <row r="63" spans="1:12" x14ac:dyDescent="0.25">
      <c r="A63" s="2" t="s">
        <v>11</v>
      </c>
      <c r="B63" s="20" t="s">
        <v>85</v>
      </c>
      <c r="C63" s="8">
        <v>1</v>
      </c>
      <c r="D63" s="12">
        <v>5000</v>
      </c>
      <c r="E63" s="12">
        <v>5000</v>
      </c>
      <c r="F63" s="3"/>
      <c r="L63" t="s">
        <v>48</v>
      </c>
    </row>
    <row r="64" spans="1:12" x14ac:dyDescent="0.25">
      <c r="A64" s="3" t="s">
        <v>45</v>
      </c>
      <c r="B64" s="3" t="s">
        <v>62</v>
      </c>
      <c r="C64" s="8">
        <v>1</v>
      </c>
      <c r="D64" s="12">
        <v>7500</v>
      </c>
      <c r="E64" s="12">
        <v>7500</v>
      </c>
      <c r="F64" s="3"/>
    </row>
    <row r="65" spans="1:12" x14ac:dyDescent="0.25">
      <c r="A65" s="22" t="s">
        <v>12</v>
      </c>
      <c r="B65" t="s">
        <v>112</v>
      </c>
      <c r="C65" s="8">
        <v>1</v>
      </c>
      <c r="D65" s="12">
        <v>9500</v>
      </c>
      <c r="E65" s="12">
        <v>13000</v>
      </c>
      <c r="F65" s="3"/>
      <c r="L65" t="s">
        <v>47</v>
      </c>
    </row>
    <row r="66" spans="1:12" x14ac:dyDescent="0.25">
      <c r="A66" s="2"/>
      <c r="B66" s="10"/>
      <c r="C66" s="11" t="s">
        <v>17</v>
      </c>
      <c r="D66" s="13"/>
      <c r="E66" s="14">
        <f>SUM(E57:E65)</f>
        <v>486600</v>
      </c>
      <c r="F66" s="3"/>
    </row>
    <row r="67" spans="1:12" x14ac:dyDescent="0.25">
      <c r="A67" s="2"/>
      <c r="B67" s="10"/>
      <c r="C67" s="11"/>
      <c r="D67" s="13"/>
      <c r="E67" s="14">
        <f>E66*20%</f>
        <v>97320</v>
      </c>
      <c r="F67" s="3"/>
    </row>
    <row r="68" spans="1:12" ht="30" x14ac:dyDescent="0.25">
      <c r="A68" s="2"/>
      <c r="B68" s="2"/>
      <c r="C68" s="11" t="s">
        <v>18</v>
      </c>
      <c r="D68" s="14"/>
      <c r="E68" s="14">
        <f>SUM(E66:E67)</f>
        <v>583920</v>
      </c>
      <c r="F68" s="16"/>
    </row>
    <row r="69" spans="1:12" x14ac:dyDescent="0.25">
      <c r="A69" s="2"/>
      <c r="B69" s="2"/>
      <c r="C69" s="6" t="s">
        <v>13</v>
      </c>
      <c r="D69" s="15"/>
      <c r="E69" s="17">
        <f>E68*18%</f>
        <v>105105.59999999999</v>
      </c>
      <c r="F69" s="16"/>
    </row>
    <row r="70" spans="1:12" x14ac:dyDescent="0.25">
      <c r="A70" s="2"/>
      <c r="B70" s="2"/>
      <c r="C70" s="6" t="s">
        <v>14</v>
      </c>
      <c r="D70" s="15"/>
      <c r="E70" s="17">
        <f>SUM(E68:E69)</f>
        <v>689025.6</v>
      </c>
      <c r="F70" s="16"/>
    </row>
    <row r="73" spans="1:12" x14ac:dyDescent="0.25">
      <c r="A73" s="4" t="s">
        <v>1</v>
      </c>
      <c r="B73" s="2" t="s">
        <v>57</v>
      </c>
      <c r="C73" s="5" t="s">
        <v>2</v>
      </c>
      <c r="D73" s="59"/>
      <c r="E73" s="60"/>
      <c r="F73" s="3"/>
    </row>
    <row r="74" spans="1:12" ht="30" x14ac:dyDescent="0.25">
      <c r="A74" s="6" t="s">
        <v>3</v>
      </c>
      <c r="B74" s="6" t="s">
        <v>4</v>
      </c>
      <c r="C74" s="6" t="s">
        <v>5</v>
      </c>
      <c r="D74" s="6" t="s">
        <v>16</v>
      </c>
      <c r="E74" s="6" t="s">
        <v>6</v>
      </c>
      <c r="F74" s="6" t="s">
        <v>15</v>
      </c>
    </row>
    <row r="75" spans="1:12" x14ac:dyDescent="0.25">
      <c r="A75" s="2" t="s">
        <v>7</v>
      </c>
      <c r="B75" s="3" t="s">
        <v>60</v>
      </c>
      <c r="C75" s="8">
        <v>1</v>
      </c>
      <c r="D75" s="12">
        <v>65000</v>
      </c>
      <c r="E75" s="12">
        <v>65000</v>
      </c>
      <c r="F75" s="3"/>
    </row>
    <row r="76" spans="1:12" x14ac:dyDescent="0.25">
      <c r="A76" s="2" t="s">
        <v>8</v>
      </c>
      <c r="B76" s="3" t="s">
        <v>110</v>
      </c>
      <c r="C76" s="8">
        <v>1</v>
      </c>
      <c r="D76" s="12">
        <v>81000</v>
      </c>
      <c r="E76" s="12">
        <v>81000</v>
      </c>
      <c r="F76" s="3"/>
    </row>
    <row r="77" spans="1:12" x14ac:dyDescent="0.25">
      <c r="A77" s="2" t="s">
        <v>9</v>
      </c>
      <c r="B77" s="7" t="s">
        <v>111</v>
      </c>
      <c r="C77" s="8">
        <v>2</v>
      </c>
      <c r="D77" s="12">
        <v>95000</v>
      </c>
      <c r="E77" s="12">
        <f>D77*2</f>
        <v>190000</v>
      </c>
      <c r="F77" s="3"/>
    </row>
    <row r="78" spans="1:12" x14ac:dyDescent="0.25">
      <c r="A78" s="2" t="s">
        <v>10</v>
      </c>
      <c r="B78" s="9" t="s">
        <v>82</v>
      </c>
      <c r="C78" s="8">
        <v>2</v>
      </c>
      <c r="D78" s="12">
        <v>225000</v>
      </c>
      <c r="E78" s="12">
        <f>D78*2</f>
        <v>450000</v>
      </c>
      <c r="F78" s="3"/>
    </row>
    <row r="79" spans="1:12" x14ac:dyDescent="0.25">
      <c r="A79" s="2" t="s">
        <v>11</v>
      </c>
      <c r="B79" s="20" t="s">
        <v>51</v>
      </c>
      <c r="C79" s="8">
        <v>1</v>
      </c>
      <c r="D79" s="12">
        <v>50000</v>
      </c>
      <c r="E79" s="12">
        <v>50000</v>
      </c>
      <c r="F79" s="3"/>
    </row>
    <row r="80" spans="1:12" x14ac:dyDescent="0.25">
      <c r="A80" s="2" t="s">
        <v>11</v>
      </c>
      <c r="B80" s="20" t="s">
        <v>59</v>
      </c>
      <c r="C80" s="8">
        <v>1</v>
      </c>
      <c r="D80" s="12">
        <v>85000</v>
      </c>
      <c r="E80" s="12">
        <v>85000</v>
      </c>
      <c r="F80" s="3"/>
    </row>
    <row r="81" spans="1:6" x14ac:dyDescent="0.25">
      <c r="A81" s="2" t="s">
        <v>19</v>
      </c>
      <c r="B81" s="20" t="s">
        <v>109</v>
      </c>
      <c r="C81" s="8">
        <v>1</v>
      </c>
      <c r="D81" s="12"/>
      <c r="E81" s="12">
        <v>450000</v>
      </c>
      <c r="F81" s="3"/>
    </row>
    <row r="82" spans="1:6" x14ac:dyDescent="0.25">
      <c r="A82" s="3" t="s">
        <v>45</v>
      </c>
      <c r="B82" s="3"/>
      <c r="C82" s="8">
        <v>2</v>
      </c>
      <c r="D82" s="12">
        <v>9500</v>
      </c>
      <c r="E82" s="12">
        <v>18000</v>
      </c>
      <c r="F82" s="3"/>
    </row>
    <row r="83" spans="1:6" x14ac:dyDescent="0.25">
      <c r="A83" s="2" t="s">
        <v>40</v>
      </c>
      <c r="B83" s="20" t="s">
        <v>54</v>
      </c>
      <c r="C83" s="8">
        <v>1</v>
      </c>
      <c r="D83" s="12">
        <v>15000</v>
      </c>
      <c r="E83" s="12">
        <v>15000</v>
      </c>
      <c r="F83" s="3"/>
    </row>
    <row r="84" spans="1:6" x14ac:dyDescent="0.25">
      <c r="A84" s="2" t="s">
        <v>39</v>
      </c>
      <c r="B84" s="20" t="s">
        <v>88</v>
      </c>
      <c r="C84" s="8">
        <v>1</v>
      </c>
      <c r="D84" s="12">
        <v>35000</v>
      </c>
      <c r="E84" s="12">
        <v>35000</v>
      </c>
      <c r="F84" s="3"/>
    </row>
    <row r="85" spans="1:6" ht="30" x14ac:dyDescent="0.25">
      <c r="A85" s="2" t="s">
        <v>52</v>
      </c>
      <c r="B85" s="20" t="s">
        <v>53</v>
      </c>
      <c r="C85" s="8">
        <v>1</v>
      </c>
      <c r="D85" s="12">
        <v>1000</v>
      </c>
      <c r="E85" s="12">
        <v>1000</v>
      </c>
      <c r="F85" s="3"/>
    </row>
    <row r="86" spans="1:6" x14ac:dyDescent="0.25">
      <c r="A86" s="22" t="s">
        <v>12</v>
      </c>
      <c r="B86" t="s">
        <v>55</v>
      </c>
      <c r="C86" s="24">
        <v>1</v>
      </c>
      <c r="D86" s="25">
        <v>45000</v>
      </c>
      <c r="E86" s="25">
        <v>55000</v>
      </c>
      <c r="F86" s="3"/>
    </row>
    <row r="87" spans="1:6" x14ac:dyDescent="0.25">
      <c r="A87" s="2" t="s">
        <v>49</v>
      </c>
      <c r="B87" s="21">
        <v>5</v>
      </c>
      <c r="C87" s="19"/>
      <c r="D87" s="12"/>
      <c r="E87" s="12"/>
      <c r="F87" s="3">
        <v>5</v>
      </c>
    </row>
    <row r="88" spans="1:6" x14ac:dyDescent="0.25">
      <c r="A88" s="2"/>
      <c r="B88" s="26"/>
      <c r="C88" s="27" t="s">
        <v>17</v>
      </c>
      <c r="D88" s="28"/>
      <c r="E88" s="12">
        <f>SUM(E75:E87)</f>
        <v>1495000</v>
      </c>
      <c r="F88" s="3">
        <f>E88*5</f>
        <v>7475000</v>
      </c>
    </row>
    <row r="89" spans="1:6" x14ac:dyDescent="0.25">
      <c r="A89" s="2"/>
      <c r="B89" s="26"/>
      <c r="C89" s="27"/>
      <c r="D89" s="28"/>
      <c r="E89" s="14">
        <f>E88*20%</f>
        <v>299000</v>
      </c>
      <c r="F89" s="14">
        <f>F88*20%</f>
        <v>1495000</v>
      </c>
    </row>
    <row r="90" spans="1:6" ht="30" x14ac:dyDescent="0.25">
      <c r="A90" s="2"/>
      <c r="B90" s="2"/>
      <c r="C90" s="11" t="s">
        <v>18</v>
      </c>
      <c r="D90" s="14"/>
      <c r="E90" s="14">
        <f>SUM(E88:E89)</f>
        <v>1794000</v>
      </c>
      <c r="F90" s="14">
        <f>SUM(F88:F89)</f>
        <v>8970000</v>
      </c>
    </row>
    <row r="91" spans="1:6" x14ac:dyDescent="0.25">
      <c r="A91" s="2"/>
      <c r="B91" s="2"/>
      <c r="C91" s="6" t="s">
        <v>13</v>
      </c>
      <c r="D91" s="15"/>
      <c r="E91" s="17">
        <f>E90*18%</f>
        <v>322920</v>
      </c>
      <c r="F91" s="17">
        <f>F90*18%</f>
        <v>1614600</v>
      </c>
    </row>
    <row r="92" spans="1:6" x14ac:dyDescent="0.25">
      <c r="A92" s="2"/>
      <c r="B92" s="2"/>
      <c r="C92" s="6" t="s">
        <v>14</v>
      </c>
      <c r="D92" s="15"/>
      <c r="E92" s="17">
        <f>SUM(E90:E91)</f>
        <v>2116920</v>
      </c>
      <c r="F92" s="17">
        <f>SUM(F90:F91)</f>
        <v>10584600</v>
      </c>
    </row>
    <row r="95" spans="1:6" x14ac:dyDescent="0.25">
      <c r="A95" s="4" t="s">
        <v>1</v>
      </c>
      <c r="B95" s="2" t="s">
        <v>58</v>
      </c>
      <c r="C95" s="5" t="s">
        <v>2</v>
      </c>
      <c r="D95" s="59"/>
      <c r="E95" s="60"/>
      <c r="F95" s="3"/>
    </row>
    <row r="96" spans="1:6" x14ac:dyDescent="0.25">
      <c r="A96" s="2" t="s">
        <v>49</v>
      </c>
      <c r="B96">
        <v>6</v>
      </c>
      <c r="C96" s="8"/>
      <c r="D96" s="12"/>
      <c r="E96" s="12"/>
      <c r="F96" s="3">
        <v>6</v>
      </c>
    </row>
    <row r="97" spans="1:6" x14ac:dyDescent="0.25">
      <c r="A97" s="2"/>
      <c r="B97" s="10"/>
      <c r="C97" s="11" t="s">
        <v>17</v>
      </c>
      <c r="D97" s="13"/>
      <c r="E97" s="12">
        <f>SUM(E88)</f>
        <v>1495000</v>
      </c>
      <c r="F97" s="3">
        <f>E97*6</f>
        <v>8970000</v>
      </c>
    </row>
    <row r="98" spans="1:6" x14ac:dyDescent="0.25">
      <c r="A98" s="2"/>
      <c r="B98" s="10"/>
      <c r="C98" s="11"/>
      <c r="D98" s="13"/>
      <c r="E98" s="14">
        <f>E97*20%</f>
        <v>299000</v>
      </c>
      <c r="F98" s="14">
        <f>F97*21%</f>
        <v>1883700</v>
      </c>
    </row>
    <row r="99" spans="1:6" x14ac:dyDescent="0.25">
      <c r="A99" s="2"/>
      <c r="B99" s="2"/>
      <c r="C99" s="11" t="s">
        <v>119</v>
      </c>
      <c r="D99" s="14"/>
      <c r="E99" s="14">
        <f>SUM(E97:E98)</f>
        <v>1794000</v>
      </c>
      <c r="F99" s="14">
        <f>SUM(F97:F98)</f>
        <v>10853700</v>
      </c>
    </row>
    <row r="100" spans="1:6" x14ac:dyDescent="0.25">
      <c r="A100" s="2"/>
      <c r="B100" s="2"/>
      <c r="C100" s="6" t="s">
        <v>13</v>
      </c>
      <c r="D100" s="15"/>
      <c r="E100" s="17">
        <f>E99*18%</f>
        <v>322920</v>
      </c>
      <c r="F100" s="17">
        <f>F99*18%</f>
        <v>1953666</v>
      </c>
    </row>
    <row r="101" spans="1:6" x14ac:dyDescent="0.25">
      <c r="A101" s="2"/>
      <c r="B101" s="2"/>
      <c r="C101" s="6" t="s">
        <v>14</v>
      </c>
      <c r="D101" s="15"/>
      <c r="E101" s="17">
        <f>SUM(E99:E100)</f>
        <v>2116920</v>
      </c>
      <c r="F101" s="17">
        <f>SUM(F99:F100)</f>
        <v>12807366</v>
      </c>
    </row>
    <row r="103" spans="1:6" x14ac:dyDescent="0.25">
      <c r="B103" s="54" t="s">
        <v>81</v>
      </c>
    </row>
    <row r="104" spans="1:6" x14ac:dyDescent="0.25">
      <c r="A104" s="6" t="s">
        <v>3</v>
      </c>
      <c r="B104" s="6" t="s">
        <v>4</v>
      </c>
      <c r="C104" s="6" t="s">
        <v>5</v>
      </c>
      <c r="D104" s="6" t="s">
        <v>16</v>
      </c>
      <c r="E104" s="6" t="s">
        <v>6</v>
      </c>
      <c r="F104" s="6" t="s">
        <v>66</v>
      </c>
    </row>
    <row r="105" spans="1:6" ht="15.75" x14ac:dyDescent="0.25">
      <c r="A105" s="30" t="s">
        <v>7</v>
      </c>
      <c r="B105" s="31" t="s">
        <v>67</v>
      </c>
      <c r="C105" s="32">
        <v>1</v>
      </c>
      <c r="D105" s="33">
        <v>4500</v>
      </c>
      <c r="E105" s="34">
        <v>4500</v>
      </c>
      <c r="F105" s="35"/>
    </row>
    <row r="106" spans="1:6" ht="15.75" x14ac:dyDescent="0.25">
      <c r="A106" s="30" t="s">
        <v>8</v>
      </c>
      <c r="B106" s="36" t="s">
        <v>68</v>
      </c>
      <c r="C106" s="32">
        <v>1</v>
      </c>
      <c r="D106" s="33"/>
      <c r="E106" s="34">
        <v>13000</v>
      </c>
      <c r="F106" s="35"/>
    </row>
    <row r="107" spans="1:6" ht="15.75" x14ac:dyDescent="0.25">
      <c r="A107" s="30" t="s">
        <v>9</v>
      </c>
      <c r="B107" s="37" t="s">
        <v>69</v>
      </c>
      <c r="C107" s="32">
        <v>1</v>
      </c>
      <c r="D107" s="33"/>
      <c r="E107" s="38">
        <v>40000</v>
      </c>
      <c r="F107" s="35"/>
    </row>
    <row r="108" spans="1:6" ht="15.75" x14ac:dyDescent="0.25">
      <c r="A108" s="30" t="s">
        <v>45</v>
      </c>
      <c r="B108" s="39" t="s">
        <v>70</v>
      </c>
      <c r="C108" s="32">
        <v>1</v>
      </c>
      <c r="D108" s="33">
        <v>9500</v>
      </c>
      <c r="E108" s="38">
        <v>9500</v>
      </c>
      <c r="F108" s="35"/>
    </row>
    <row r="109" spans="1:6" ht="15.75" x14ac:dyDescent="0.25">
      <c r="A109" s="30" t="s">
        <v>10</v>
      </c>
      <c r="B109" s="40" t="s">
        <v>71</v>
      </c>
      <c r="C109" s="32">
        <v>1</v>
      </c>
      <c r="D109" s="33">
        <v>55000</v>
      </c>
      <c r="E109" s="38">
        <v>55000</v>
      </c>
      <c r="F109" s="35"/>
    </row>
    <row r="110" spans="1:6" ht="15.75" x14ac:dyDescent="0.25">
      <c r="A110" s="30" t="s">
        <v>11</v>
      </c>
      <c r="B110" s="37" t="s">
        <v>72</v>
      </c>
      <c r="C110" s="32">
        <v>1</v>
      </c>
      <c r="D110" s="33">
        <v>9500</v>
      </c>
      <c r="E110" s="38">
        <v>9500</v>
      </c>
      <c r="F110" s="35"/>
    </row>
    <row r="111" spans="1:6" ht="15.75" x14ac:dyDescent="0.25">
      <c r="A111" s="30" t="s">
        <v>12</v>
      </c>
      <c r="B111" s="37" t="s">
        <v>73</v>
      </c>
      <c r="C111" s="32">
        <v>1</v>
      </c>
      <c r="D111" s="33">
        <v>4000</v>
      </c>
      <c r="E111" s="41">
        <v>4500</v>
      </c>
      <c r="F111" s="35"/>
    </row>
    <row r="112" spans="1:6" ht="15.75" x14ac:dyDescent="0.25">
      <c r="A112" s="30" t="s">
        <v>39</v>
      </c>
      <c r="B112" s="35" t="s">
        <v>74</v>
      </c>
      <c r="C112" s="32">
        <v>1</v>
      </c>
      <c r="D112" s="42">
        <v>6800</v>
      </c>
      <c r="E112" s="43">
        <v>7000</v>
      </c>
      <c r="F112" s="35"/>
    </row>
    <row r="113" spans="1:6" ht="31.5" x14ac:dyDescent="0.25">
      <c r="A113" s="30" t="s">
        <v>75</v>
      </c>
      <c r="B113" s="40" t="s">
        <v>76</v>
      </c>
      <c r="C113" s="32">
        <v>1</v>
      </c>
      <c r="D113" s="33">
        <v>610</v>
      </c>
      <c r="E113" s="41">
        <v>800</v>
      </c>
      <c r="F113" s="35"/>
    </row>
    <row r="114" spans="1:6" ht="15.75" x14ac:dyDescent="0.25">
      <c r="A114" s="30"/>
      <c r="B114" s="44"/>
      <c r="C114" s="45" t="s">
        <v>17</v>
      </c>
      <c r="D114" s="46"/>
      <c r="E114" s="47">
        <f>SUM(E105:E113)</f>
        <v>143800</v>
      </c>
      <c r="F114" s="35">
        <f>E114*17</f>
        <v>2444600</v>
      </c>
    </row>
    <row r="115" spans="1:6" ht="15.75" x14ac:dyDescent="0.25">
      <c r="A115" s="30"/>
      <c r="B115" s="44"/>
      <c r="C115" s="45"/>
      <c r="D115" s="46"/>
      <c r="E115" s="48">
        <f>E114*20%</f>
        <v>28760</v>
      </c>
      <c r="F115" s="48">
        <f>F114*20%</f>
        <v>488920</v>
      </c>
    </row>
    <row r="116" spans="1:6" ht="15.75" x14ac:dyDescent="0.25">
      <c r="A116" s="30"/>
      <c r="B116" s="30"/>
      <c r="C116" s="45" t="s">
        <v>120</v>
      </c>
      <c r="D116" s="49"/>
      <c r="E116" s="47">
        <f>SUM(E114:E115)</f>
        <v>172560</v>
      </c>
      <c r="F116" s="47">
        <f>SUM(F114:F115)</f>
        <v>2933520</v>
      </c>
    </row>
    <row r="117" spans="1:6" ht="15.75" x14ac:dyDescent="0.25">
      <c r="A117" s="30"/>
      <c r="B117" s="30"/>
      <c r="C117" s="50" t="s">
        <v>13</v>
      </c>
      <c r="D117" s="51"/>
      <c r="E117" s="52">
        <f>E116*18%</f>
        <v>31060.799999999999</v>
      </c>
      <c r="F117" s="52">
        <f>F116*18%</f>
        <v>528033.6</v>
      </c>
    </row>
    <row r="118" spans="1:6" ht="15.75" x14ac:dyDescent="0.25">
      <c r="A118" s="30"/>
      <c r="B118" s="30"/>
      <c r="C118" s="50" t="s">
        <v>14</v>
      </c>
      <c r="D118" s="51"/>
      <c r="E118" s="52">
        <f>SUM(E116:E117)</f>
        <v>203620.8</v>
      </c>
      <c r="F118" s="52">
        <f>SUM(F116:F117)</f>
        <v>3461553.6</v>
      </c>
    </row>
    <row r="120" spans="1:6" x14ac:dyDescent="0.25">
      <c r="B120" s="54" t="s">
        <v>80</v>
      </c>
    </row>
    <row r="121" spans="1:6" x14ac:dyDescent="0.25">
      <c r="A121" s="6" t="s">
        <v>3</v>
      </c>
      <c r="B121" s="6" t="s">
        <v>4</v>
      </c>
      <c r="C121" s="6" t="s">
        <v>5</v>
      </c>
      <c r="D121" s="6" t="s">
        <v>16</v>
      </c>
      <c r="E121" s="6" t="s">
        <v>6</v>
      </c>
      <c r="F121" s="6" t="s">
        <v>66</v>
      </c>
    </row>
    <row r="122" spans="1:6" ht="15.75" x14ac:dyDescent="0.25">
      <c r="A122" s="30" t="s">
        <v>7</v>
      </c>
      <c r="B122" s="31" t="s">
        <v>77</v>
      </c>
      <c r="C122" s="32">
        <v>1</v>
      </c>
      <c r="D122" s="33">
        <v>4500</v>
      </c>
      <c r="E122" s="34">
        <v>4500</v>
      </c>
      <c r="F122" s="35"/>
    </row>
    <row r="123" spans="1:6" ht="15.75" x14ac:dyDescent="0.25">
      <c r="A123" s="30" t="s">
        <v>8</v>
      </c>
      <c r="B123" s="36" t="s">
        <v>90</v>
      </c>
      <c r="C123" s="32">
        <v>1</v>
      </c>
      <c r="D123" s="33">
        <v>9800</v>
      </c>
      <c r="E123" s="34">
        <v>12500</v>
      </c>
      <c r="F123" s="35"/>
    </row>
    <row r="124" spans="1:6" ht="31.5" x14ac:dyDescent="0.25">
      <c r="A124" s="30" t="s">
        <v>9</v>
      </c>
      <c r="B124" s="37" t="s">
        <v>89</v>
      </c>
      <c r="C124" s="32">
        <v>1</v>
      </c>
      <c r="D124" s="33">
        <v>15500</v>
      </c>
      <c r="E124" s="38">
        <v>18500</v>
      </c>
      <c r="F124" s="35"/>
    </row>
    <row r="125" spans="1:6" ht="15.75" x14ac:dyDescent="0.25">
      <c r="A125" s="30" t="s">
        <v>45</v>
      </c>
      <c r="B125" s="39" t="s">
        <v>70</v>
      </c>
      <c r="C125" s="32">
        <v>1</v>
      </c>
      <c r="D125" s="33">
        <v>7500</v>
      </c>
      <c r="E125" s="38">
        <v>7500</v>
      </c>
      <c r="F125" s="35"/>
    </row>
    <row r="126" spans="1:6" ht="15.75" x14ac:dyDescent="0.25">
      <c r="A126" s="30" t="s">
        <v>10</v>
      </c>
      <c r="B126" s="40" t="s">
        <v>92</v>
      </c>
      <c r="C126" s="32">
        <v>1</v>
      </c>
      <c r="D126" s="33">
        <v>29000</v>
      </c>
      <c r="E126" s="38">
        <v>29000</v>
      </c>
      <c r="F126" s="35"/>
    </row>
    <row r="127" spans="1:6" ht="15.75" x14ac:dyDescent="0.25">
      <c r="A127" s="30" t="s">
        <v>11</v>
      </c>
      <c r="B127" s="37" t="s">
        <v>78</v>
      </c>
      <c r="C127" s="32">
        <v>1</v>
      </c>
      <c r="D127" s="33">
        <v>9500</v>
      </c>
      <c r="E127" s="38">
        <v>10000</v>
      </c>
      <c r="F127" s="35"/>
    </row>
    <row r="128" spans="1:6" ht="15.75" x14ac:dyDescent="0.25">
      <c r="A128" s="30" t="s">
        <v>12</v>
      </c>
      <c r="B128" s="37" t="s">
        <v>79</v>
      </c>
      <c r="C128" s="32">
        <v>1</v>
      </c>
      <c r="D128" s="33">
        <v>4000</v>
      </c>
      <c r="E128" s="41">
        <v>4500</v>
      </c>
      <c r="F128" s="35"/>
    </row>
    <row r="129" spans="1:6" ht="15.75" x14ac:dyDescent="0.25">
      <c r="A129" s="30" t="s">
        <v>39</v>
      </c>
      <c r="B129" s="35" t="s">
        <v>91</v>
      </c>
      <c r="C129" s="32">
        <v>1</v>
      </c>
      <c r="D129" s="42">
        <v>7000</v>
      </c>
      <c r="E129" s="43">
        <v>7000</v>
      </c>
      <c r="F129" s="35"/>
    </row>
    <row r="130" spans="1:6" ht="31.5" x14ac:dyDescent="0.25">
      <c r="A130" s="30" t="s">
        <v>75</v>
      </c>
      <c r="B130" s="40" t="s">
        <v>53</v>
      </c>
      <c r="C130" s="32">
        <v>1</v>
      </c>
      <c r="D130" s="33">
        <v>1000</v>
      </c>
      <c r="E130" s="41">
        <v>1000</v>
      </c>
      <c r="F130" s="35"/>
    </row>
    <row r="131" spans="1:6" ht="15.75" x14ac:dyDescent="0.25">
      <c r="A131" s="30"/>
      <c r="B131" s="44"/>
      <c r="C131" s="45" t="s">
        <v>17</v>
      </c>
      <c r="D131" s="46"/>
      <c r="E131" s="47">
        <v>98000</v>
      </c>
      <c r="F131" s="47">
        <f>E131*40</f>
        <v>3920000</v>
      </c>
    </row>
    <row r="132" spans="1:6" ht="15.75" x14ac:dyDescent="0.25">
      <c r="A132" s="30"/>
      <c r="B132" s="44"/>
      <c r="C132" s="45"/>
      <c r="D132" s="46"/>
      <c r="E132" s="47">
        <f>E131*20%</f>
        <v>19600</v>
      </c>
      <c r="F132" s="47">
        <f>F131*20%</f>
        <v>784000</v>
      </c>
    </row>
    <row r="133" spans="1:6" ht="15.75" x14ac:dyDescent="0.25">
      <c r="A133" s="30"/>
      <c r="B133" s="30"/>
      <c r="C133" s="45" t="s">
        <v>116</v>
      </c>
      <c r="D133" s="49"/>
      <c r="E133" s="47">
        <f>SUM(E131:E132)</f>
        <v>117600</v>
      </c>
      <c r="F133" s="47">
        <f>SUM(F131:F132)</f>
        <v>4704000</v>
      </c>
    </row>
    <row r="134" spans="1:6" ht="15.75" x14ac:dyDescent="0.25">
      <c r="A134" s="30"/>
      <c r="B134" s="30"/>
      <c r="C134" s="50" t="s">
        <v>13</v>
      </c>
      <c r="D134" s="51"/>
      <c r="E134" s="52">
        <f>E133*18%</f>
        <v>21168</v>
      </c>
      <c r="F134" s="52">
        <f>F133*18%</f>
        <v>846720</v>
      </c>
    </row>
    <row r="135" spans="1:6" ht="15.75" x14ac:dyDescent="0.25">
      <c r="A135" s="30"/>
      <c r="B135" s="30"/>
      <c r="C135" s="50" t="s">
        <v>14</v>
      </c>
      <c r="D135" s="51"/>
      <c r="E135" s="52">
        <f>SUM(E133:E134)</f>
        <v>138768</v>
      </c>
      <c r="F135" s="52">
        <f>SUM(F133:F134)</f>
        <v>5550720</v>
      </c>
    </row>
    <row r="138" spans="1:6" x14ac:dyDescent="0.25">
      <c r="B138" t="s">
        <v>83</v>
      </c>
    </row>
    <row r="139" spans="1:6" x14ac:dyDescent="0.25">
      <c r="A139" s="6" t="s">
        <v>3</v>
      </c>
      <c r="B139" s="6" t="s">
        <v>4</v>
      </c>
      <c r="C139" s="6" t="s">
        <v>5</v>
      </c>
      <c r="D139" s="6" t="s">
        <v>16</v>
      </c>
      <c r="E139" s="6" t="s">
        <v>6</v>
      </c>
      <c r="F139" s="6" t="s">
        <v>66</v>
      </c>
    </row>
    <row r="140" spans="1:6" ht="15.75" x14ac:dyDescent="0.25">
      <c r="A140" s="30" t="s">
        <v>7</v>
      </c>
      <c r="B140" s="31" t="s">
        <v>105</v>
      </c>
      <c r="C140" s="32">
        <v>1</v>
      </c>
      <c r="D140" s="33"/>
      <c r="E140" s="34">
        <v>110000</v>
      </c>
      <c r="F140" s="35"/>
    </row>
    <row r="141" spans="1:6" ht="15.75" x14ac:dyDescent="0.25">
      <c r="A141" s="30" t="s">
        <v>8</v>
      </c>
      <c r="B141" s="3" t="s">
        <v>64</v>
      </c>
      <c r="C141" s="19">
        <v>1</v>
      </c>
      <c r="D141" s="12">
        <v>63000</v>
      </c>
      <c r="E141" s="12">
        <v>63000</v>
      </c>
      <c r="F141" s="35"/>
    </row>
    <row r="142" spans="1:6" ht="30" x14ac:dyDescent="0.25">
      <c r="A142" s="30" t="s">
        <v>9</v>
      </c>
      <c r="B142" s="7" t="s">
        <v>50</v>
      </c>
      <c r="C142" s="19">
        <v>2</v>
      </c>
      <c r="D142" s="12">
        <v>18000</v>
      </c>
      <c r="E142" s="12">
        <v>36000</v>
      </c>
      <c r="F142" s="35"/>
    </row>
    <row r="143" spans="1:6" ht="15.75" x14ac:dyDescent="0.25">
      <c r="A143" s="30" t="s">
        <v>45</v>
      </c>
      <c r="B143" s="39"/>
      <c r="C143" s="32">
        <v>1</v>
      </c>
      <c r="D143" s="33"/>
      <c r="E143" s="38">
        <v>15000</v>
      </c>
      <c r="F143" s="35"/>
    </row>
    <row r="144" spans="1:6" ht="15.75" x14ac:dyDescent="0.25">
      <c r="A144" s="30" t="s">
        <v>10</v>
      </c>
      <c r="B144" s="40" t="s">
        <v>95</v>
      </c>
      <c r="C144" s="32">
        <v>2</v>
      </c>
      <c r="D144" s="33">
        <v>100000</v>
      </c>
      <c r="E144" s="38">
        <v>200000</v>
      </c>
      <c r="F144" s="35"/>
    </row>
    <row r="145" spans="1:6" ht="15.75" x14ac:dyDescent="0.25">
      <c r="A145" s="30" t="s">
        <v>11</v>
      </c>
      <c r="B145" s="37" t="s">
        <v>96</v>
      </c>
      <c r="C145" s="32">
        <v>2</v>
      </c>
      <c r="D145" s="33">
        <v>32000</v>
      </c>
      <c r="E145" s="38">
        <v>64000</v>
      </c>
      <c r="F145" s="35"/>
    </row>
    <row r="146" spans="1:6" ht="15.75" x14ac:dyDescent="0.25">
      <c r="A146" s="30" t="s">
        <v>44</v>
      </c>
      <c r="B146" s="37" t="s">
        <v>97</v>
      </c>
      <c r="C146" s="32">
        <v>2</v>
      </c>
      <c r="D146" s="33">
        <v>70000</v>
      </c>
      <c r="E146" s="41">
        <f>D146*2</f>
        <v>140000</v>
      </c>
      <c r="F146" s="35"/>
    </row>
    <row r="147" spans="1:6" ht="15.75" x14ac:dyDescent="0.25">
      <c r="A147" s="30"/>
      <c r="B147" s="37" t="s">
        <v>61</v>
      </c>
      <c r="C147" s="32">
        <v>1</v>
      </c>
      <c r="D147" s="33">
        <v>80000</v>
      </c>
      <c r="E147" s="41">
        <v>80000</v>
      </c>
      <c r="F147" s="35"/>
    </row>
    <row r="148" spans="1:6" ht="15.75" x14ac:dyDescent="0.25">
      <c r="A148" s="30" t="s">
        <v>40</v>
      </c>
      <c r="B148" s="35" t="s">
        <v>99</v>
      </c>
      <c r="C148" s="32">
        <v>1</v>
      </c>
      <c r="D148" s="42">
        <v>35000</v>
      </c>
      <c r="E148" s="43">
        <v>35000</v>
      </c>
      <c r="F148" s="35"/>
    </row>
    <row r="149" spans="1:6" ht="15.75" x14ac:dyDescent="0.25">
      <c r="A149" s="30" t="s">
        <v>102</v>
      </c>
      <c r="B149" s="35" t="s">
        <v>101</v>
      </c>
      <c r="C149" s="32">
        <v>1</v>
      </c>
      <c r="D149" s="42">
        <v>35000</v>
      </c>
      <c r="E149" s="43">
        <v>10000</v>
      </c>
      <c r="F149" s="35"/>
    </row>
    <row r="150" spans="1:6" ht="15.75" x14ac:dyDescent="0.25">
      <c r="A150" s="30" t="s">
        <v>40</v>
      </c>
      <c r="B150" s="40" t="s">
        <v>100</v>
      </c>
      <c r="C150" s="32">
        <v>1</v>
      </c>
      <c r="D150" s="33">
        <v>36000</v>
      </c>
      <c r="E150" s="41">
        <v>36000</v>
      </c>
      <c r="F150" s="35"/>
    </row>
    <row r="151" spans="1:6" ht="15.75" x14ac:dyDescent="0.25">
      <c r="A151" s="30"/>
      <c r="B151" s="44"/>
      <c r="C151" s="45" t="s">
        <v>17</v>
      </c>
      <c r="D151" s="46"/>
      <c r="E151" s="47">
        <f>SUM(E140:E150)</f>
        <v>789000</v>
      </c>
      <c r="F151" s="35">
        <f>E151*3</f>
        <v>2367000</v>
      </c>
    </row>
    <row r="152" spans="1:6" ht="15.75" x14ac:dyDescent="0.25">
      <c r="A152" s="30"/>
      <c r="B152" s="44"/>
      <c r="C152" s="45"/>
      <c r="D152" s="46"/>
      <c r="E152" s="47">
        <f>E151*20%</f>
        <v>157800</v>
      </c>
      <c r="F152" s="47">
        <f>F151*20%</f>
        <v>473400</v>
      </c>
    </row>
    <row r="153" spans="1:6" ht="15.75" x14ac:dyDescent="0.25">
      <c r="A153" s="30"/>
      <c r="B153" s="30"/>
      <c r="C153" s="45" t="s">
        <v>119</v>
      </c>
      <c r="D153" s="49"/>
      <c r="E153" s="47">
        <f>SUM(E151:E152)</f>
        <v>946800</v>
      </c>
      <c r="F153" s="47">
        <f>SUM(F151:F152)</f>
        <v>2840400</v>
      </c>
    </row>
    <row r="154" spans="1:6" ht="15.75" x14ac:dyDescent="0.25">
      <c r="A154" s="30"/>
      <c r="B154" s="30"/>
      <c r="C154" s="50" t="s">
        <v>13</v>
      </c>
      <c r="D154" s="51"/>
      <c r="E154" s="52">
        <f>E153*18%</f>
        <v>170424</v>
      </c>
      <c r="F154" s="52">
        <f>F153*18%</f>
        <v>511272</v>
      </c>
    </row>
    <row r="155" spans="1:6" ht="15.75" x14ac:dyDescent="0.25">
      <c r="A155" s="30"/>
      <c r="B155" s="30"/>
      <c r="C155" s="50" t="s">
        <v>14</v>
      </c>
      <c r="D155" s="51"/>
      <c r="E155" s="52">
        <f>SUM(E153:E154)</f>
        <v>1117224</v>
      </c>
      <c r="F155" s="52">
        <f>SUM(F153:F154)</f>
        <v>3351672</v>
      </c>
    </row>
    <row r="157" spans="1:6" x14ac:dyDescent="0.25">
      <c r="B157" t="s">
        <v>104</v>
      </c>
    </row>
    <row r="158" spans="1:6" x14ac:dyDescent="0.25">
      <c r="A158" s="6" t="s">
        <v>3</v>
      </c>
      <c r="B158" s="6" t="s">
        <v>4</v>
      </c>
      <c r="C158" s="6" t="s">
        <v>5</v>
      </c>
      <c r="D158" s="6" t="s">
        <v>16</v>
      </c>
      <c r="E158" s="6" t="s">
        <v>6</v>
      </c>
      <c r="F158" s="6" t="s">
        <v>66</v>
      </c>
    </row>
    <row r="159" spans="1:6" ht="15.75" x14ac:dyDescent="0.25">
      <c r="A159" s="30" t="s">
        <v>7</v>
      </c>
      <c r="B159" s="31" t="s">
        <v>98</v>
      </c>
      <c r="C159" s="32">
        <v>1</v>
      </c>
      <c r="D159" s="33">
        <v>150000</v>
      </c>
      <c r="E159" s="34">
        <v>165000</v>
      </c>
      <c r="F159" s="35"/>
    </row>
    <row r="160" spans="1:6" ht="15.75" x14ac:dyDescent="0.25">
      <c r="A160" s="30" t="s">
        <v>8</v>
      </c>
      <c r="B160" s="3" t="s">
        <v>64</v>
      </c>
      <c r="C160" s="19">
        <v>1</v>
      </c>
      <c r="D160" s="12">
        <v>63000</v>
      </c>
      <c r="E160" s="12">
        <v>63000</v>
      </c>
      <c r="F160" s="35"/>
    </row>
    <row r="161" spans="1:6" ht="30" x14ac:dyDescent="0.25">
      <c r="A161" s="30" t="s">
        <v>9</v>
      </c>
      <c r="B161" s="7" t="s">
        <v>50</v>
      </c>
      <c r="C161" s="19">
        <v>2</v>
      </c>
      <c r="D161" s="12">
        <v>18000</v>
      </c>
      <c r="E161" s="12">
        <v>36000</v>
      </c>
      <c r="F161" s="35"/>
    </row>
    <row r="162" spans="1:6" ht="15.75" x14ac:dyDescent="0.25">
      <c r="A162" s="30" t="s">
        <v>45</v>
      </c>
      <c r="B162" s="39"/>
      <c r="C162" s="32">
        <v>1</v>
      </c>
      <c r="D162" s="33"/>
      <c r="E162" s="38">
        <v>15000</v>
      </c>
      <c r="F162" s="35"/>
    </row>
    <row r="163" spans="1:6" ht="15.75" x14ac:dyDescent="0.25">
      <c r="A163" s="30" t="s">
        <v>10</v>
      </c>
      <c r="B163" s="40" t="s">
        <v>95</v>
      </c>
      <c r="C163" s="32">
        <v>1</v>
      </c>
      <c r="D163" s="33">
        <v>100000</v>
      </c>
      <c r="E163" s="38">
        <v>200000</v>
      </c>
      <c r="F163" s="35"/>
    </row>
    <row r="164" spans="1:6" ht="15.75" x14ac:dyDescent="0.25">
      <c r="A164" s="30" t="s">
        <v>11</v>
      </c>
      <c r="B164" s="37" t="s">
        <v>96</v>
      </c>
      <c r="C164" s="32">
        <v>2</v>
      </c>
      <c r="D164" s="33">
        <v>32000</v>
      </c>
      <c r="E164" s="38">
        <v>64000</v>
      </c>
      <c r="F164" s="35"/>
    </row>
    <row r="165" spans="1:6" ht="15.75" x14ac:dyDescent="0.25">
      <c r="A165" s="30" t="s">
        <v>44</v>
      </c>
      <c r="B165" s="37" t="s">
        <v>103</v>
      </c>
      <c r="C165" s="32">
        <v>16</v>
      </c>
      <c r="D165" s="33">
        <v>70000</v>
      </c>
      <c r="E165" s="41">
        <f>D165*16</f>
        <v>1120000</v>
      </c>
      <c r="F165" s="35"/>
    </row>
    <row r="166" spans="1:6" ht="15.75" x14ac:dyDescent="0.25">
      <c r="A166" s="30"/>
      <c r="B166" s="37" t="s">
        <v>61</v>
      </c>
      <c r="C166" s="32">
        <v>1</v>
      </c>
      <c r="D166" s="33">
        <v>80000</v>
      </c>
      <c r="E166" s="41">
        <v>80000</v>
      </c>
      <c r="F166" s="35"/>
    </row>
    <row r="167" spans="1:6" ht="15.75" x14ac:dyDescent="0.25">
      <c r="A167" s="30" t="s">
        <v>40</v>
      </c>
      <c r="B167" s="35" t="s">
        <v>99</v>
      </c>
      <c r="C167" s="32">
        <v>1</v>
      </c>
      <c r="D167" s="42">
        <v>35000</v>
      </c>
      <c r="E167" s="43">
        <v>35000</v>
      </c>
      <c r="F167" s="35"/>
    </row>
    <row r="168" spans="1:6" ht="15.75" x14ac:dyDescent="0.25">
      <c r="A168" s="30" t="s">
        <v>102</v>
      </c>
      <c r="B168" s="35" t="s">
        <v>101</v>
      </c>
      <c r="C168" s="32">
        <v>1</v>
      </c>
      <c r="D168" s="42">
        <v>35000</v>
      </c>
      <c r="E168" s="43">
        <v>35000</v>
      </c>
      <c r="F168" s="35"/>
    </row>
    <row r="169" spans="1:6" ht="15.75" x14ac:dyDescent="0.25">
      <c r="A169" s="30" t="s">
        <v>40</v>
      </c>
      <c r="B169" s="40" t="s">
        <v>100</v>
      </c>
      <c r="C169" s="32">
        <v>1</v>
      </c>
      <c r="D169" s="33">
        <v>36000</v>
      </c>
      <c r="E169" s="41">
        <v>36000</v>
      </c>
      <c r="F169" s="35"/>
    </row>
    <row r="170" spans="1:6" ht="15.75" x14ac:dyDescent="0.25">
      <c r="A170" s="30"/>
      <c r="B170" s="44"/>
      <c r="C170" s="45" t="s">
        <v>17</v>
      </c>
      <c r="D170" s="46"/>
      <c r="E170" s="47">
        <f>SUM(E159:E169)</f>
        <v>1849000</v>
      </c>
      <c r="F170" s="35">
        <f>E1701</f>
        <v>0</v>
      </c>
    </row>
    <row r="171" spans="1:6" ht="15.75" x14ac:dyDescent="0.25">
      <c r="A171" s="30"/>
      <c r="B171" s="44"/>
      <c r="C171" s="45"/>
      <c r="D171" s="46"/>
      <c r="E171" s="47">
        <f>E170*20%</f>
        <v>369800</v>
      </c>
      <c r="F171" s="47">
        <f>F170*20%</f>
        <v>0</v>
      </c>
    </row>
    <row r="172" spans="1:6" ht="15.75" x14ac:dyDescent="0.25">
      <c r="A172" s="30"/>
      <c r="B172" s="30"/>
      <c r="C172" s="45" t="s">
        <v>116</v>
      </c>
      <c r="D172" s="49"/>
      <c r="E172" s="47">
        <f>SUM(E170:E171)</f>
        <v>2218800</v>
      </c>
      <c r="F172" s="47">
        <f>SUM(F170:F171)</f>
        <v>0</v>
      </c>
    </row>
    <row r="173" spans="1:6" ht="15.75" x14ac:dyDescent="0.25">
      <c r="A173" s="30"/>
      <c r="B173" s="30"/>
      <c r="C173" s="50" t="s">
        <v>13</v>
      </c>
      <c r="D173" s="51"/>
      <c r="E173" s="52">
        <f>E172*18%</f>
        <v>399384</v>
      </c>
      <c r="F173" s="52">
        <f>F172*18%</f>
        <v>0</v>
      </c>
    </row>
    <row r="174" spans="1:6" ht="15.75" x14ac:dyDescent="0.25">
      <c r="A174" s="30"/>
      <c r="B174" s="30"/>
      <c r="C174" s="50" t="s">
        <v>14</v>
      </c>
      <c r="D174" s="51"/>
      <c r="E174" s="52">
        <f>SUM(E172:E173)</f>
        <v>2618184</v>
      </c>
      <c r="F174" s="52">
        <f>SUM(F172:F173)</f>
        <v>0</v>
      </c>
    </row>
    <row r="177" spans="1:6" x14ac:dyDescent="0.25">
      <c r="A177" s="3"/>
      <c r="B177" s="58" t="s">
        <v>117</v>
      </c>
      <c r="C177" s="3" t="s">
        <v>118</v>
      </c>
      <c r="D177" s="3"/>
      <c r="E177" s="3"/>
    </row>
    <row r="178" spans="1:6" ht="30" x14ac:dyDescent="0.25">
      <c r="A178" s="3"/>
      <c r="B178" s="2" t="s">
        <v>114</v>
      </c>
      <c r="C178" s="3">
        <v>4</v>
      </c>
      <c r="D178" s="3">
        <v>98000</v>
      </c>
      <c r="E178" s="47"/>
    </row>
    <row r="179" spans="1:6" ht="15.75" x14ac:dyDescent="0.25">
      <c r="A179" s="3"/>
      <c r="B179" s="3"/>
      <c r="C179" s="45" t="s">
        <v>17</v>
      </c>
      <c r="D179" s="46"/>
      <c r="E179" s="47"/>
      <c r="F179" s="55">
        <f>E1710</f>
        <v>0</v>
      </c>
    </row>
    <row r="180" spans="1:6" ht="15.75" x14ac:dyDescent="0.25">
      <c r="A180" s="3"/>
      <c r="B180" s="3"/>
      <c r="C180" s="45"/>
      <c r="D180" s="46"/>
      <c r="E180" s="47"/>
      <c r="F180" s="56">
        <f>F179*20%</f>
        <v>0</v>
      </c>
    </row>
    <row r="181" spans="1:6" ht="15.75" x14ac:dyDescent="0.25">
      <c r="A181" s="3"/>
      <c r="B181" s="3"/>
      <c r="C181" s="45" t="s">
        <v>115</v>
      </c>
      <c r="D181" s="49"/>
      <c r="E181" s="47"/>
      <c r="F181" s="56">
        <f>SUM(F179:F180)</f>
        <v>0</v>
      </c>
    </row>
    <row r="182" spans="1:6" ht="15.75" x14ac:dyDescent="0.25">
      <c r="A182" s="3"/>
      <c r="B182" s="3"/>
      <c r="C182" s="50" t="s">
        <v>13</v>
      </c>
      <c r="D182" s="51"/>
      <c r="E182" s="52"/>
      <c r="F182" s="57">
        <f>F181*18%</f>
        <v>0</v>
      </c>
    </row>
    <row r="183" spans="1:6" ht="15.75" x14ac:dyDescent="0.25">
      <c r="A183" s="3"/>
      <c r="B183" s="3"/>
      <c r="C183" s="50" t="s">
        <v>14</v>
      </c>
      <c r="D183" s="51"/>
      <c r="E183" s="52"/>
      <c r="F183" s="57">
        <f>SUM(F181:F182)</f>
        <v>0</v>
      </c>
    </row>
  </sheetData>
  <mergeCells count="6">
    <mergeCell ref="D95:E95"/>
    <mergeCell ref="D2:E2"/>
    <mergeCell ref="D18:E18"/>
    <mergeCell ref="D34:E34"/>
    <mergeCell ref="D55:E55"/>
    <mergeCell ref="D73:E7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2026-10-02T14:03:04Z</dcterms:modified>
</cp:coreProperties>
</file>