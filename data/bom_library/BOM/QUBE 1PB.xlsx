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9" i="1"/>
  <c r="E45" i="1" l="1"/>
  <c r="E46" i="1" s="1"/>
  <c r="E43" i="1"/>
  <c r="E30" i="1"/>
  <c r="E29" i="1"/>
  <c r="E28" i="1"/>
  <c r="E11" i="1"/>
  <c r="E10" i="1"/>
  <c r="E8" i="1"/>
  <c r="E47" i="1" l="1"/>
  <c r="E34" i="1"/>
  <c r="E35" i="1" s="1"/>
  <c r="E16" i="1"/>
  <c r="E48" i="1" l="1"/>
  <c r="E49" i="1" s="1"/>
  <c r="E36" i="1"/>
  <c r="E37" i="1"/>
  <c r="E38" i="1" s="1"/>
  <c r="E18" i="1"/>
  <c r="E19" i="1" l="1"/>
  <c r="E20" i="1" s="1"/>
</calcChain>
</file>

<file path=xl/sharedStrings.xml><?xml version="1.0" encoding="utf-8"?>
<sst xmlns="http://schemas.openxmlformats.org/spreadsheetml/2006/main" count="102" uniqueCount="40">
  <si>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</si>
  <si>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</si>
  <si>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</si>
  <si>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</si>
  <si>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</si>
  <si>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</si>
  <si>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</si>
  <si>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</si>
  <si>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</si>
  <si>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</si>
  <si>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</si>
  <si>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</si>
  <si>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</si>
  <si>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</si>
  <si>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</si>
  <si>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</si>
  <si>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</si>
  <si>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</si>
  <si>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</si>
  <si>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</si>
  <si>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HDD</t>
  </si>
  <si>
    <t>MZ33-AR1</t>
  </si>
  <si>
    <t xml:space="preserve">AMD EPYC™ 9124 (16-Cores, Base Freq 3GHz, Max Freq 3.7GHz, 64MB Cache) </t>
  </si>
  <si>
    <t>J12</t>
  </si>
  <si>
    <t>64GB DDR5 4800MHz</t>
  </si>
  <si>
    <t>480GB SATA SSD</t>
  </si>
  <si>
    <t>24TB SATA HDD</t>
  </si>
  <si>
    <t xml:space="preserve">Raid </t>
  </si>
  <si>
    <t>9480-8i8e</t>
  </si>
  <si>
    <t>1600W 1+1</t>
  </si>
  <si>
    <t>AIC RSC 4H1   60 x 3.5” hot-swap</t>
  </si>
  <si>
    <t xml:space="preserve">NIC </t>
  </si>
  <si>
    <t>Dual 100GB/s NIC Intel E810-CQDA2 Dual-Port 100GbE NIC</t>
  </si>
  <si>
    <t>Arihant</t>
  </si>
  <si>
    <t>4U 24 bay JBOD (12G, single controller, no tool free accessories) with 800W RPS - ₹1,20,000 + GST. External cable not included.</t>
  </si>
  <si>
    <t>AIC RSC 4ET 24BAY WITH EXPANDER/RPS/RAIL</t>
  </si>
  <si>
    <t>1200W 1+1</t>
  </si>
  <si>
    <t>External Cables</t>
  </si>
  <si>
    <t>1.92TB U.2 NVMe SSD</t>
  </si>
  <si>
    <t>Asus K14PA-U12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</si>
</sst>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zoomScaleNormal="100" workbookViewId="0">
      <selection activeCell="E17" sqref="E17"/>
    </sheetView>
  </sheetViews>
  <sheetFormatPr defaultRowHeight="15" x14ac:dyDescent="0.25"/>
  <cols>
    <col min="1" max="1" width="15.28515625" customWidth="1"/>
    <col min="2" max="2" width="52" customWidth="1"/>
    <col min="3" max="3" width="12.7109375" customWidth="1"/>
    <col min="4" max="4" width="15.5703125" customWidth="1"/>
    <col min="5" max="5" width="16.7109375" customWidth="1"/>
    <col min="6" max="6" width="15" customWidth="1"/>
    <col min="9" max="9" width="16.5703125" customWidth="1"/>
  </cols>
  <sheetData>
    <row r="1" spans="1:12" x14ac:dyDescent="0.25">
      <c r="A1" s="1" t="s">
        <v>0</v>
      </c>
      <c r="B1" s="1"/>
      <c r="C1" s="2"/>
      <c r="D1" s="2"/>
      <c r="E1" s="2"/>
      <c r="F1" s="3"/>
    </row>
    <row r="2" spans="1:12" x14ac:dyDescent="0.25">
      <c r="A2" s="4" t="s">
        <v>1</v>
      </c>
      <c r="B2" s="2"/>
      <c r="C2" s="5" t="s">
        <v>2</v>
      </c>
      <c r="D2" s="33"/>
      <c r="E2" s="34"/>
      <c r="F2" s="3"/>
    </row>
    <row r="3" spans="1:12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12" ht="15.75" x14ac:dyDescent="0.25">
      <c r="A4" s="9" t="s">
        <v>7</v>
      </c>
      <c r="B4" s="10" t="s">
        <v>30</v>
      </c>
      <c r="C4" s="11">
        <v>1</v>
      </c>
      <c r="D4" s="12">
        <v>324000</v>
      </c>
      <c r="E4" s="13">
        <v>324900</v>
      </c>
      <c r="F4" s="14" t="s">
        <v>33</v>
      </c>
    </row>
    <row r="5" spans="1:12" ht="15.75" x14ac:dyDescent="0.25">
      <c r="A5" s="9" t="s">
        <v>8</v>
      </c>
      <c r="B5" s="15" t="s">
        <v>39</v>
      </c>
      <c r="C5" s="11">
        <v>1</v>
      </c>
      <c r="D5" s="12">
        <v>73000</v>
      </c>
      <c r="E5" s="13">
        <v>99000</v>
      </c>
      <c r="F5" s="14" t="s">
        <v>33</v>
      </c>
    </row>
    <row r="6" spans="1:12" ht="31.5" x14ac:dyDescent="0.25">
      <c r="A6" s="9" t="s">
        <v>9</v>
      </c>
      <c r="B6" s="16" t="s">
        <v>22</v>
      </c>
      <c r="C6" s="11">
        <v>1</v>
      </c>
      <c r="D6" s="12">
        <v>62000</v>
      </c>
      <c r="E6" s="17">
        <v>62000</v>
      </c>
      <c r="F6" s="14" t="s">
        <v>33</v>
      </c>
    </row>
    <row r="7" spans="1:12" ht="15.75" x14ac:dyDescent="0.25">
      <c r="A7" s="9" t="s">
        <v>10</v>
      </c>
      <c r="B7" s="18" t="s">
        <v>23</v>
      </c>
      <c r="C7" s="11">
        <v>1</v>
      </c>
      <c r="D7" s="12">
        <v>7500</v>
      </c>
      <c r="E7" s="17">
        <v>7500</v>
      </c>
      <c r="F7" s="14" t="s">
        <v>33</v>
      </c>
    </row>
    <row r="8" spans="1:12" ht="15.75" x14ac:dyDescent="0.25">
      <c r="A8" s="9" t="s">
        <v>11</v>
      </c>
      <c r="B8" s="19" t="s">
        <v>24</v>
      </c>
      <c r="C8" s="11">
        <v>2</v>
      </c>
      <c r="D8" s="12">
        <v>225000</v>
      </c>
      <c r="E8" s="17">
        <f>D8*2</f>
        <v>450000</v>
      </c>
      <c r="F8" s="14" t="s">
        <v>33</v>
      </c>
    </row>
    <row r="9" spans="1:12" ht="15.75" x14ac:dyDescent="0.25">
      <c r="A9" s="9"/>
      <c r="B9" s="19" t="s">
        <v>38</v>
      </c>
      <c r="C9" s="11">
        <v>2</v>
      </c>
      <c r="D9" s="12">
        <v>89000</v>
      </c>
      <c r="E9" s="17">
        <f>D9*2</f>
        <v>178000</v>
      </c>
      <c r="F9" s="14" t="s">
        <v>33</v>
      </c>
    </row>
    <row r="10" spans="1:12" ht="15.75" x14ac:dyDescent="0.25">
      <c r="A10" s="9" t="s">
        <v>12</v>
      </c>
      <c r="B10" s="16" t="s">
        <v>25</v>
      </c>
      <c r="C10" s="11">
        <v>2</v>
      </c>
      <c r="D10" s="12">
        <v>32000</v>
      </c>
      <c r="E10" s="17">
        <f>D10*2</f>
        <v>64000</v>
      </c>
      <c r="F10" s="14" t="s">
        <v>33</v>
      </c>
      <c r="L10" t="s">
        <v>34</v>
      </c>
    </row>
    <row r="11" spans="1:12" ht="15.75" x14ac:dyDescent="0.25">
      <c r="A11" s="9" t="s">
        <v>20</v>
      </c>
      <c r="B11" s="16" t="s">
        <v>26</v>
      </c>
      <c r="C11" s="11">
        <v>48</v>
      </c>
      <c r="D11" s="12">
        <v>95000</v>
      </c>
      <c r="E11" s="17">
        <f>D11*48</f>
        <v>4560000</v>
      </c>
      <c r="F11" s="14" t="s">
        <v>33</v>
      </c>
    </row>
    <row r="12" spans="1:12" ht="15.75" x14ac:dyDescent="0.25">
      <c r="A12" s="9" t="s">
        <v>27</v>
      </c>
      <c r="B12" s="16" t="s">
        <v>28</v>
      </c>
      <c r="C12" s="11">
        <v>1</v>
      </c>
      <c r="D12" s="12">
        <v>89000</v>
      </c>
      <c r="E12" s="17">
        <v>89000</v>
      </c>
      <c r="F12" s="14" t="s">
        <v>33</v>
      </c>
    </row>
    <row r="13" spans="1:12" ht="15.75" x14ac:dyDescent="0.25">
      <c r="A13" s="9" t="s">
        <v>13</v>
      </c>
      <c r="B13" s="16" t="s">
        <v>29</v>
      </c>
      <c r="C13" s="11">
        <v>1</v>
      </c>
      <c r="D13" s="12">
        <v>0</v>
      </c>
      <c r="E13" s="20">
        <v>0</v>
      </c>
      <c r="F13" s="14" t="s">
        <v>33</v>
      </c>
    </row>
    <row r="14" spans="1:12" ht="15.75" x14ac:dyDescent="0.25">
      <c r="A14" s="9" t="s">
        <v>31</v>
      </c>
      <c r="B14" s="14" t="s">
        <v>32</v>
      </c>
      <c r="C14" s="11">
        <v>1</v>
      </c>
      <c r="D14" s="21">
        <v>30600</v>
      </c>
      <c r="E14" s="22">
        <v>30600</v>
      </c>
      <c r="F14" s="14" t="s">
        <v>33</v>
      </c>
    </row>
    <row r="15" spans="1:12" ht="14.25" customHeight="1" x14ac:dyDescent="0.25">
      <c r="A15" s="9"/>
      <c r="B15" s="19"/>
      <c r="C15" s="11"/>
      <c r="D15" s="12"/>
      <c r="E15" s="20"/>
      <c r="F15" s="14"/>
    </row>
    <row r="16" spans="1:12" ht="16.149999999999999" customHeight="1" x14ac:dyDescent="0.25">
      <c r="A16" s="9"/>
      <c r="B16" s="23"/>
      <c r="C16" s="24" t="s">
        <v>17</v>
      </c>
      <c r="D16" s="25"/>
      <c r="E16" s="8">
        <f>SUM(E4:E15)</f>
        <v>5865000</v>
      </c>
      <c r="F16" s="14"/>
    </row>
    <row r="17" spans="1:6" ht="16.149999999999999" customHeight="1" x14ac:dyDescent="0.25">
      <c r="A17" s="9"/>
      <c r="B17" s="23"/>
      <c r="C17" s="30">
        <v>0.15</v>
      </c>
      <c r="D17" s="25"/>
      <c r="E17" s="26">
        <f>E16*21%</f>
        <v>1231650</v>
      </c>
      <c r="F17" s="14"/>
    </row>
    <row r="18" spans="1:6" ht="18" customHeight="1" x14ac:dyDescent="0.25">
      <c r="A18" s="9"/>
      <c r="B18" s="9"/>
      <c r="C18" s="24" t="s">
        <v>18</v>
      </c>
      <c r="D18" s="27"/>
      <c r="E18" s="8">
        <f>SUM(E16:E17)</f>
        <v>7096650</v>
      </c>
      <c r="F18" s="14"/>
    </row>
    <row r="19" spans="1:6" ht="15.75" x14ac:dyDescent="0.25">
      <c r="A19" s="9"/>
      <c r="B19" s="9"/>
      <c r="C19" s="28" t="s">
        <v>14</v>
      </c>
      <c r="D19" s="29"/>
      <c r="E19" s="7">
        <f>E18*18%</f>
        <v>1277397</v>
      </c>
      <c r="F19" s="14"/>
    </row>
    <row r="20" spans="1:6" ht="15.75" x14ac:dyDescent="0.25">
      <c r="A20" s="9"/>
      <c r="B20" s="9"/>
      <c r="C20" s="28" t="s">
        <v>15</v>
      </c>
      <c r="D20" s="29"/>
      <c r="E20" s="7">
        <f>SUM(E18:E19)</f>
        <v>8374047</v>
      </c>
      <c r="F20" s="14"/>
    </row>
    <row r="23" spans="1:6" x14ac:dyDescent="0.25">
      <c r="A23" s="6" t="s">
        <v>3</v>
      </c>
      <c r="B23" s="6" t="s">
        <v>4</v>
      </c>
      <c r="C23" s="6" t="s">
        <v>5</v>
      </c>
      <c r="D23" s="6" t="s">
        <v>16</v>
      </c>
      <c r="E23" s="6" t="s">
        <v>6</v>
      </c>
      <c r="F23" s="6" t="s">
        <v>19</v>
      </c>
    </row>
    <row r="24" spans="1:6" ht="15.75" x14ac:dyDescent="0.25">
      <c r="A24" s="9" t="s">
        <v>7</v>
      </c>
      <c r="B24" s="31" t="s">
        <v>35</v>
      </c>
      <c r="C24" s="11">
        <v>1</v>
      </c>
      <c r="D24" s="12">
        <v>130000</v>
      </c>
      <c r="E24" s="13">
        <v>130000</v>
      </c>
      <c r="F24" s="14" t="s">
        <v>33</v>
      </c>
    </row>
    <row r="25" spans="1:6" ht="15.75" x14ac:dyDescent="0.25">
      <c r="A25" s="9" t="s">
        <v>8</v>
      </c>
      <c r="B25" s="15" t="s">
        <v>21</v>
      </c>
      <c r="C25" s="11">
        <v>1</v>
      </c>
      <c r="D25" s="12">
        <v>99000</v>
      </c>
      <c r="E25" s="13">
        <v>99000</v>
      </c>
      <c r="F25" s="14" t="s">
        <v>33</v>
      </c>
    </row>
    <row r="26" spans="1:6" ht="31.5" x14ac:dyDescent="0.25">
      <c r="A26" s="9" t="s">
        <v>9</v>
      </c>
      <c r="B26" s="16" t="s">
        <v>22</v>
      </c>
      <c r="C26" s="11">
        <v>1</v>
      </c>
      <c r="D26" s="12">
        <v>62000</v>
      </c>
      <c r="E26" s="17">
        <v>62000</v>
      </c>
      <c r="F26" s="14" t="s">
        <v>33</v>
      </c>
    </row>
    <row r="27" spans="1:6" ht="15.75" x14ac:dyDescent="0.25">
      <c r="A27" s="9" t="s">
        <v>10</v>
      </c>
      <c r="B27" s="18" t="s">
        <v>23</v>
      </c>
      <c r="C27" s="11">
        <v>1</v>
      </c>
      <c r="D27" s="12">
        <v>7500</v>
      </c>
      <c r="E27" s="17">
        <v>7500</v>
      </c>
      <c r="F27" s="14" t="s">
        <v>33</v>
      </c>
    </row>
    <row r="28" spans="1:6" ht="15.75" x14ac:dyDescent="0.25">
      <c r="A28" s="9" t="s">
        <v>11</v>
      </c>
      <c r="B28" s="19" t="s">
        <v>24</v>
      </c>
      <c r="C28" s="11">
        <v>2</v>
      </c>
      <c r="D28" s="12">
        <v>225000</v>
      </c>
      <c r="E28" s="17">
        <f>D28*2</f>
        <v>450000</v>
      </c>
      <c r="F28" s="14" t="s">
        <v>33</v>
      </c>
    </row>
    <row r="29" spans="1:6" ht="15.75" x14ac:dyDescent="0.25">
      <c r="A29" s="9" t="s">
        <v>12</v>
      </c>
      <c r="B29" s="16" t="s">
        <v>25</v>
      </c>
      <c r="C29" s="11">
        <v>2</v>
      </c>
      <c r="D29" s="12">
        <v>32000</v>
      </c>
      <c r="E29" s="17">
        <f>D29*2</f>
        <v>64000</v>
      </c>
      <c r="F29" s="14" t="s">
        <v>33</v>
      </c>
    </row>
    <row r="30" spans="1:6" ht="15.75" x14ac:dyDescent="0.25">
      <c r="A30" s="9" t="s">
        <v>20</v>
      </c>
      <c r="B30" s="16" t="s">
        <v>26</v>
      </c>
      <c r="C30" s="11">
        <v>24</v>
      </c>
      <c r="D30" s="12">
        <v>96000</v>
      </c>
      <c r="E30" s="17">
        <f>D30*24</f>
        <v>2304000</v>
      </c>
      <c r="F30" s="14" t="s">
        <v>33</v>
      </c>
    </row>
    <row r="31" spans="1:6" ht="15.75" x14ac:dyDescent="0.25">
      <c r="A31" s="9" t="s">
        <v>27</v>
      </c>
      <c r="B31" s="16" t="s">
        <v>28</v>
      </c>
      <c r="C31" s="11">
        <v>1</v>
      </c>
      <c r="D31" s="12">
        <v>89000</v>
      </c>
      <c r="E31" s="17">
        <v>89000</v>
      </c>
      <c r="F31" s="14" t="s">
        <v>33</v>
      </c>
    </row>
    <row r="32" spans="1:6" ht="15.75" x14ac:dyDescent="0.25">
      <c r="A32" s="9" t="s">
        <v>13</v>
      </c>
      <c r="B32" s="16" t="s">
        <v>36</v>
      </c>
      <c r="C32" s="11">
        <v>1</v>
      </c>
      <c r="D32" s="12">
        <v>0</v>
      </c>
      <c r="E32" s="20">
        <v>0</v>
      </c>
      <c r="F32" s="14" t="s">
        <v>33</v>
      </c>
    </row>
    <row r="33" spans="1:6" ht="15.75" x14ac:dyDescent="0.25">
      <c r="A33" s="9" t="s">
        <v>31</v>
      </c>
      <c r="B33" s="14" t="s">
        <v>32</v>
      </c>
      <c r="C33" s="11">
        <v>1</v>
      </c>
      <c r="D33" s="21">
        <v>30600</v>
      </c>
      <c r="E33" s="22">
        <v>30600</v>
      </c>
      <c r="F33" s="14" t="s">
        <v>33</v>
      </c>
    </row>
    <row r="34" spans="1:6" ht="15.75" x14ac:dyDescent="0.25">
      <c r="A34" s="9"/>
      <c r="B34" s="23"/>
      <c r="C34" s="24" t="s">
        <v>17</v>
      </c>
      <c r="D34" s="25"/>
      <c r="E34" s="8">
        <f>SUM(E24:E33)</f>
        <v>3236100</v>
      </c>
      <c r="F34" s="14"/>
    </row>
    <row r="35" spans="1:6" ht="15.75" x14ac:dyDescent="0.25">
      <c r="A35" s="9"/>
      <c r="B35" s="23"/>
      <c r="C35" s="30">
        <v>0.15</v>
      </c>
      <c r="D35" s="25"/>
      <c r="E35" s="26">
        <f>E34*15%</f>
        <v>485415</v>
      </c>
      <c r="F35" s="14"/>
    </row>
    <row r="36" spans="1:6" ht="15.75" x14ac:dyDescent="0.25">
      <c r="A36" s="9"/>
      <c r="B36" s="9"/>
      <c r="C36" s="24" t="s">
        <v>18</v>
      </c>
      <c r="D36" s="27"/>
      <c r="E36" s="8">
        <f>SUM(E34:E35)</f>
        <v>3721515</v>
      </c>
      <c r="F36" s="14"/>
    </row>
    <row r="37" spans="1:6" ht="15.75" x14ac:dyDescent="0.25">
      <c r="A37" s="9"/>
      <c r="B37" s="9"/>
      <c r="C37" s="28" t="s">
        <v>14</v>
      </c>
      <c r="D37" s="29"/>
      <c r="E37" s="7">
        <f>E36*18%</f>
        <v>669872.69999999995</v>
      </c>
      <c r="F37" s="14"/>
    </row>
    <row r="38" spans="1:6" ht="15.75" x14ac:dyDescent="0.25">
      <c r="A38" s="9"/>
      <c r="B38" s="9"/>
      <c r="C38" s="28" t="s">
        <v>15</v>
      </c>
      <c r="D38" s="29"/>
      <c r="E38" s="7">
        <f>SUM(E36:E37)</f>
        <v>4391387.7</v>
      </c>
      <c r="F38" s="14"/>
    </row>
    <row r="41" spans="1:6" x14ac:dyDescent="0.25">
      <c r="A41" s="6" t="s">
        <v>3</v>
      </c>
      <c r="B41" s="6" t="s">
        <v>4</v>
      </c>
      <c r="C41" s="6" t="s">
        <v>5</v>
      </c>
      <c r="D41" s="6" t="s">
        <v>16</v>
      </c>
      <c r="E41" s="6" t="s">
        <v>6</v>
      </c>
      <c r="F41" s="6" t="s">
        <v>19</v>
      </c>
    </row>
    <row r="42" spans="1:6" ht="45" x14ac:dyDescent="0.25">
      <c r="A42" s="9"/>
      <c r="B42" s="32" t="s">
        <v>34</v>
      </c>
      <c r="C42" s="11">
        <v>1</v>
      </c>
      <c r="D42" s="12">
        <v>120000</v>
      </c>
      <c r="E42" s="17">
        <v>120000</v>
      </c>
      <c r="F42" s="14" t="s">
        <v>33</v>
      </c>
    </row>
    <row r="43" spans="1:6" ht="15.75" x14ac:dyDescent="0.25">
      <c r="A43" s="9" t="s">
        <v>20</v>
      </c>
      <c r="B43" s="16" t="s">
        <v>26</v>
      </c>
      <c r="C43" s="11">
        <v>24</v>
      </c>
      <c r="D43" s="12">
        <v>96000</v>
      </c>
      <c r="E43" s="17">
        <f>D43*24</f>
        <v>2304000</v>
      </c>
      <c r="F43" s="14" t="s">
        <v>33</v>
      </c>
    </row>
    <row r="44" spans="1:6" ht="15.75" x14ac:dyDescent="0.25">
      <c r="A44" s="9"/>
      <c r="B44" s="19" t="s">
        <v>37</v>
      </c>
      <c r="C44" s="11">
        <v>1</v>
      </c>
      <c r="D44" s="12">
        <v>20000</v>
      </c>
      <c r="E44" s="20">
        <v>20000</v>
      </c>
      <c r="F44" s="14"/>
    </row>
    <row r="45" spans="1:6" ht="15.75" x14ac:dyDescent="0.25">
      <c r="A45" s="9"/>
      <c r="B45" s="23"/>
      <c r="C45" s="24" t="s">
        <v>17</v>
      </c>
      <c r="D45" s="25"/>
      <c r="E45" s="8">
        <f>SUM(E42:E44)</f>
        <v>2444000</v>
      </c>
      <c r="F45" s="14"/>
    </row>
    <row r="46" spans="1:6" ht="15.75" x14ac:dyDescent="0.25">
      <c r="A46" s="9"/>
      <c r="B46" s="23"/>
      <c r="C46" s="30">
        <v>0.15</v>
      </c>
      <c r="D46" s="25"/>
      <c r="E46" s="26">
        <f>E45*15%</f>
        <v>366600</v>
      </c>
      <c r="F46" s="14"/>
    </row>
    <row r="47" spans="1:6" ht="15.75" x14ac:dyDescent="0.25">
      <c r="A47" s="9"/>
      <c r="B47" s="9"/>
      <c r="C47" s="24" t="s">
        <v>18</v>
      </c>
      <c r="D47" s="27"/>
      <c r="E47" s="8">
        <f>SUM(E45:E46)</f>
        <v>2810600</v>
      </c>
      <c r="F47" s="14"/>
    </row>
    <row r="48" spans="1:6" ht="15.75" x14ac:dyDescent="0.25">
      <c r="A48" s="9"/>
      <c r="B48" s="9"/>
      <c r="C48" s="28" t="s">
        <v>14</v>
      </c>
      <c r="D48" s="29"/>
      <c r="E48" s="7">
        <f>E47*18%</f>
        <v>505908</v>
      </c>
      <c r="F48" s="14"/>
    </row>
    <row r="49" spans="1:6" ht="15.75" x14ac:dyDescent="0.25">
      <c r="A49" s="9"/>
      <c r="B49" s="9"/>
      <c r="C49" s="28" t="s">
        <v>15</v>
      </c>
      <c r="D49" s="29"/>
      <c r="E49" s="7">
        <f>SUM(E47:E48)</f>
        <v>3316508</v>
      </c>
      <c r="F49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2026-09-11T08:06:31Z</dcterms:modified>
</cp:coreProperties>
</file>