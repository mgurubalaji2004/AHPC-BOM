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13" i="1" l="1"/>
  <c r="E14" i="1" l="1"/>
  <c r="E15" i="1" l="1"/>
  <c r="E16" i="1" l="1"/>
  <c r="E17" i="1" s="1"/>
</calcChain>
</file>

<file path=xl/sharedStrings.xml><?xml version="1.0" encoding="utf-8"?>
<sst xmlns="http://schemas.openxmlformats.org/spreadsheetml/2006/main" count="32" uniqueCount="32">
  <si>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</si>
  <si>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</si>
  <si>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</si>
  <si>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</si>
  <si>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</si>
  <si>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</si>
  <si>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</si>
  <si>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</si>
  <si>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</si>
  <si>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</si>
  <si>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</si>
  <si>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</si>
  <si>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</si>
  <si>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</si>
  <si>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</si>
  <si>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</si>
  <si>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</si>
  <si>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</si>
  <si>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Margin-15%</t>
  </si>
  <si>
    <t>From</t>
  </si>
  <si>
    <t>GPU</t>
  </si>
  <si>
    <t>AMD EPYC™ 9354 (32-Cores, Base Freq 3.25GHz, Max Freq 3.80GHz, Cache 256MB)</t>
  </si>
  <si>
    <t>Dynatron J12</t>
  </si>
  <si>
    <t>64GB DDR5 4800MHz</t>
  </si>
  <si>
    <t>HDD</t>
  </si>
  <si>
    <t>2400W RPS 1+1</t>
  </si>
  <si>
    <t xml:space="preserve">AMD SoC Chipset </t>
  </si>
  <si>
    <t>4U Rack Mountable Chassis   ChenBro SR11369</t>
  </si>
  <si>
    <t>10TB SATA HDD</t>
  </si>
  <si>
    <t xml:space="preserve">NVIDIA RTX Pro 6000 Blackwell 96GB server </t>
  </si>
  <si>
    <t>960GB M.2 NVMe SSD</t>
  </si>
  <si>
    <t>DATENFARMAN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</si>
</sst>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tabSelected="1" zoomScale="115" zoomScaleNormal="115" workbookViewId="0">
      <selection activeCell="B3" sqref="B3"/>
    </sheetView>
  </sheetViews>
  <sheetFormatPr defaultRowHeight="15" x14ac:dyDescent="0.25"/>
  <cols>
    <col min="1" max="1" width="15.28515625" customWidth="1"/>
    <col min="2" max="2" width="48.5703125" customWidth="1"/>
    <col min="3" max="3" width="14.140625" customWidth="1"/>
    <col min="4" max="4" width="15.5703125" customWidth="1"/>
    <col min="5" max="5" width="16.7109375" customWidth="1"/>
    <col min="6" max="6" width="15" customWidth="1"/>
  </cols>
  <sheetData>
    <row r="1" spans="1:6" x14ac:dyDescent="0.25">
      <c r="A1" s="1" t="s">
        <v>0</v>
      </c>
      <c r="B1" s="1"/>
      <c r="C1" s="2"/>
      <c r="D1" s="2"/>
      <c r="E1" s="2"/>
      <c r="F1" s="3"/>
    </row>
    <row r="2" spans="1:6" x14ac:dyDescent="0.25">
      <c r="A2" s="4" t="s">
        <v>1</v>
      </c>
      <c r="B2" s="2" t="s">
        <v>31</v>
      </c>
      <c r="C2" s="5" t="s">
        <v>2</v>
      </c>
      <c r="D2" s="28"/>
      <c r="E2" s="29"/>
      <c r="F2" s="3"/>
    </row>
    <row r="3" spans="1:6" x14ac:dyDescent="0.25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19</v>
      </c>
    </row>
    <row r="4" spans="1:6" ht="15.75" x14ac:dyDescent="0.25">
      <c r="A4" s="9" t="s">
        <v>7</v>
      </c>
      <c r="B4" s="10" t="s">
        <v>27</v>
      </c>
      <c r="C4" s="11">
        <v>1</v>
      </c>
      <c r="D4" s="12">
        <v>75000</v>
      </c>
      <c r="E4" s="13">
        <v>150000</v>
      </c>
      <c r="F4" s="14"/>
    </row>
    <row r="5" spans="1:6" ht="15.75" x14ac:dyDescent="0.25">
      <c r="A5" s="9" t="s">
        <v>8</v>
      </c>
      <c r="B5" s="15" t="s">
        <v>26</v>
      </c>
      <c r="C5" s="11">
        <v>1</v>
      </c>
      <c r="D5" s="12">
        <v>110000</v>
      </c>
      <c r="E5" s="13">
        <v>110000</v>
      </c>
      <c r="F5" s="14"/>
    </row>
    <row r="6" spans="1:6" ht="31.5" x14ac:dyDescent="0.25">
      <c r="A6" s="9" t="s">
        <v>9</v>
      </c>
      <c r="B6" s="16" t="s">
        <v>21</v>
      </c>
      <c r="C6" s="11">
        <v>1</v>
      </c>
      <c r="D6" s="12">
        <v>175000</v>
      </c>
      <c r="E6" s="17">
        <v>175000</v>
      </c>
      <c r="F6" s="14"/>
    </row>
    <row r="7" spans="1:6" ht="15.75" x14ac:dyDescent="0.25">
      <c r="A7" s="9" t="s">
        <v>10</v>
      </c>
      <c r="B7" s="18" t="s">
        <v>22</v>
      </c>
      <c r="C7" s="11">
        <v>1</v>
      </c>
      <c r="D7" s="12">
        <v>7500</v>
      </c>
      <c r="E7" s="17">
        <v>7500</v>
      </c>
      <c r="F7" s="14"/>
    </row>
    <row r="8" spans="1:6" ht="15.75" x14ac:dyDescent="0.25">
      <c r="A8" s="9" t="s">
        <v>11</v>
      </c>
      <c r="B8" s="19" t="s">
        <v>23</v>
      </c>
      <c r="C8" s="11">
        <v>2</v>
      </c>
      <c r="D8" s="12">
        <v>225000</v>
      </c>
      <c r="E8" s="17">
        <f>D8*2</f>
        <v>450000</v>
      </c>
      <c r="F8" s="14"/>
    </row>
    <row r="9" spans="1:6" ht="15.75" x14ac:dyDescent="0.25">
      <c r="A9" s="9" t="s">
        <v>12</v>
      </c>
      <c r="B9" s="16" t="s">
        <v>30</v>
      </c>
      <c r="C9" s="11">
        <v>1</v>
      </c>
      <c r="D9" s="12">
        <v>95000</v>
      </c>
      <c r="E9" s="17">
        <v>95000</v>
      </c>
      <c r="F9" s="14"/>
    </row>
    <row r="10" spans="1:6" ht="15.75" x14ac:dyDescent="0.25">
      <c r="A10" s="30" t="s">
        <v>24</v>
      </c>
      <c r="B10" s="30" t="s">
        <v>28</v>
      </c>
      <c r="C10" s="11">
        <v>1</v>
      </c>
      <c r="D10" s="12">
        <v>42000</v>
      </c>
      <c r="E10" s="17">
        <v>42000</v>
      </c>
      <c r="F10" s="14"/>
    </row>
    <row r="11" spans="1:6" ht="15.75" x14ac:dyDescent="0.25">
      <c r="A11" s="9" t="s">
        <v>20</v>
      </c>
      <c r="B11" s="16" t="s">
        <v>29</v>
      </c>
      <c r="C11" s="11">
        <v>1</v>
      </c>
      <c r="D11" s="12">
        <v>2000000</v>
      </c>
      <c r="E11" s="17">
        <v>2000000</v>
      </c>
      <c r="F11" s="14"/>
    </row>
    <row r="12" spans="1:6" ht="15.75" x14ac:dyDescent="0.25">
      <c r="A12" s="9" t="s">
        <v>13</v>
      </c>
      <c r="B12" s="16" t="s">
        <v>25</v>
      </c>
      <c r="C12" s="11">
        <v>1</v>
      </c>
      <c r="D12" s="12">
        <v>41500</v>
      </c>
      <c r="E12" s="20">
        <v>41500</v>
      </c>
      <c r="F12" s="14"/>
    </row>
    <row r="13" spans="1:6" ht="16.149999999999999" customHeight="1" x14ac:dyDescent="0.25">
      <c r="A13" s="9"/>
      <c r="B13" s="21"/>
      <c r="C13" s="22" t="s">
        <v>17</v>
      </c>
      <c r="D13" s="23"/>
      <c r="E13" s="8">
        <f>SUM(E4:E12)</f>
        <v>3071000</v>
      </c>
      <c r="F13" s="8"/>
    </row>
    <row r="14" spans="1:6" ht="16.149999999999999" customHeight="1" x14ac:dyDescent="0.25">
      <c r="A14" s="9"/>
      <c r="B14" s="21"/>
      <c r="C14" s="27">
        <v>0.15</v>
      </c>
      <c r="D14" s="23"/>
      <c r="E14" s="8">
        <f>E13*15%</f>
        <v>460650</v>
      </c>
      <c r="F14" s="8"/>
    </row>
    <row r="15" spans="1:6" ht="18" customHeight="1" x14ac:dyDescent="0.25">
      <c r="A15" s="9"/>
      <c r="B15" s="9"/>
      <c r="C15" s="22" t="s">
        <v>18</v>
      </c>
      <c r="D15" s="24"/>
      <c r="E15" s="8">
        <f>SUM(E13:E14)</f>
        <v>3531650</v>
      </c>
      <c r="F15" s="8"/>
    </row>
    <row r="16" spans="1:6" ht="15.75" x14ac:dyDescent="0.25">
      <c r="A16" s="9"/>
      <c r="B16" s="9"/>
      <c r="C16" s="25" t="s">
        <v>14</v>
      </c>
      <c r="D16" s="26"/>
      <c r="E16" s="7">
        <f>E15*18%</f>
        <v>635697</v>
      </c>
      <c r="F16" s="7"/>
    </row>
    <row r="17" spans="1:6" ht="15.75" x14ac:dyDescent="0.25">
      <c r="A17" s="9"/>
      <c r="B17" s="9"/>
      <c r="C17" s="25" t="s">
        <v>15</v>
      </c>
      <c r="D17" s="26"/>
      <c r="E17" s="7">
        <f>SUM(E15:E16)</f>
        <v>4167347</v>
      </c>
      <c r="F17" s="8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2026-09-28T09:52:57Z</dcterms:modified>
</cp:coreProperties>
</file>