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1" l="1"/>
  <c r="E30" i="1"/>
  <c r="F31" i="1" l="1"/>
  <c r="E32" i="1" l="1"/>
  <c r="F32" i="1" l="1"/>
  <c r="E33" i="1"/>
  <c r="E34" i="1" s="1"/>
  <c r="F33" i="1" l="1"/>
  <c r="F34" i="1"/>
  <c r="E13" i="1"/>
  <c r="E14" i="1" s="1"/>
  <c r="E15" i="1" l="1"/>
  <c r="F14" i="1" l="1"/>
  <c r="F15" i="1"/>
  <c r="E16" i="1"/>
  <c r="E17" i="1" s="1"/>
  <c r="F16" i="1"/>
  <c r="F17" i="1" s="1"/>
</calcChain>
</file>

<file path=xl/sharedStrings.xml><?xml version="1.0" encoding="utf-8"?>
<sst xmlns="http://schemas.openxmlformats.org/spreadsheetml/2006/main" count="57" uniqueCount="31">
  <si>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</si>
  <si>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</si>
  <si>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</si>
  <si>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</si>
  <si>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</si>
  <si>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</si>
  <si>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</si>
  <si>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</si>
  <si>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</si>
  <si>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</si>
  <si>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</si>
  <si>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</si>
  <si>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</si>
  <si>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</si>
  <si>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</si>
  <si>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Monitor</t>
  </si>
  <si>
    <t>From</t>
  </si>
  <si>
    <t>16GB DDR5 5600MHz</t>
  </si>
  <si>
    <t xml:space="preserve">24" Inches Monitor </t>
  </si>
  <si>
    <t>750W ATX</t>
  </si>
  <si>
    <t xml:space="preserve"> </t>
  </si>
  <si>
    <t>colourful gt 730 4gb</t>
  </si>
  <si>
    <t>Keyboard and Mouse</t>
  </si>
  <si>
    <t>Gpu</t>
  </si>
  <si>
    <t>512GB SATA SSD</t>
  </si>
  <si>
    <t>650W ATX</t>
  </si>
  <si>
    <t>Antec VX330 ARGB Black Cabinet</t>
  </si>
  <si>
    <t>Intel® Core™ Ultra 5 Processor 225F  (10-Cores, Base Freq 2.7GHz, Max Freq 4.9GHz, Cache 20MB)</t>
  </si>
  <si>
    <t>msi h810m wifi</t>
  </si>
  <si>
    <t>Air cooler</t>
  </si>
  <si>
    <t>Margin-13%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</si>
</sst>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0" fillId="3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vertical="center" readingOrder="1"/>
    </xf>
    <xf numFmtId="0" fontId="3" fillId="0" borderId="1" xfId="0" applyFont="1" applyBorder="1"/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vertical="top" wrapText="1"/>
    </xf>
    <xf numFmtId="3" fontId="3" fillId="0" borderId="1" xfId="0" applyNumberFormat="1" applyFont="1" applyBorder="1" applyAlignment="1">
      <alignment horizontal="right" readingOrder="1"/>
    </xf>
    <xf numFmtId="0" fontId="3" fillId="0" borderId="0" xfId="0" applyFont="1"/>
    <xf numFmtId="0" fontId="3" fillId="0" borderId="1" xfId="0" applyFont="1" applyBorder="1" applyAlignment="1">
      <alignment vertical="top"/>
    </xf>
    <xf numFmtId="3" fontId="3" fillId="0" borderId="1" xfId="0" applyNumberFormat="1" applyFont="1" applyBorder="1" applyAlignment="1">
      <alignment horizontal="right" wrapText="1"/>
    </xf>
    <xf numFmtId="3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wrapText="1"/>
    </xf>
    <xf numFmtId="4" fontId="3" fillId="0" borderId="1" xfId="0" applyNumberFormat="1" applyFont="1" applyBorder="1" applyAlignment="1">
      <alignment horizontal="center" wrapText="1"/>
    </xf>
    <xf numFmtId="4" fontId="3" fillId="0" borderId="0" xfId="0" applyNumberFormat="1" applyFont="1" applyAlignment="1">
      <alignment horizontal="right"/>
    </xf>
    <xf numFmtId="4" fontId="3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vertical="top" wrapText="1"/>
    </xf>
    <xf numFmtId="4" fontId="3" fillId="4" borderId="1" xfId="0" applyNumberFormat="1" applyFont="1" applyFill="1" applyBorder="1" applyAlignment="1">
      <alignment horizontal="center" vertical="top" wrapText="1"/>
    </xf>
    <xf numFmtId="9" fontId="3" fillId="3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topLeftCell="A16" zoomScale="115" zoomScaleNormal="115" workbookViewId="0">
      <selection activeCell="E25" sqref="E25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5.28515625" customWidth="1"/>
    <col min="6" max="6" width="16.28515625" customWidth="1"/>
  </cols>
  <sheetData>
    <row r="1" spans="1:8" x14ac:dyDescent="0.25">
      <c r="A1" s="1"/>
      <c r="B1" s="1"/>
      <c r="C1" s="2"/>
      <c r="D1" s="2"/>
      <c r="E1" s="2"/>
      <c r="F1" s="3"/>
    </row>
    <row r="3" spans="1:8" x14ac:dyDescent="0.25">
      <c r="A3" s="4" t="s">
        <v>0</v>
      </c>
      <c r="B3" s="4" t="s">
        <v>1</v>
      </c>
      <c r="C3" s="4" t="s">
        <v>2</v>
      </c>
      <c r="D3" s="4" t="s">
        <v>13</v>
      </c>
      <c r="E3" s="4" t="s">
        <v>3</v>
      </c>
      <c r="F3" s="4" t="s">
        <v>16</v>
      </c>
    </row>
    <row r="4" spans="1:8" ht="15.75" x14ac:dyDescent="0.25">
      <c r="A4" s="7" t="s">
        <v>4</v>
      </c>
      <c r="B4" s="8" t="s">
        <v>26</v>
      </c>
      <c r="C4" s="9">
        <v>1</v>
      </c>
      <c r="D4" s="10">
        <v>3500</v>
      </c>
      <c r="E4" s="11">
        <v>4000</v>
      </c>
      <c r="F4" s="12"/>
    </row>
    <row r="5" spans="1:8" ht="15.75" x14ac:dyDescent="0.25">
      <c r="A5" s="7" t="s">
        <v>5</v>
      </c>
      <c r="B5" s="13" t="s">
        <v>28</v>
      </c>
      <c r="C5" s="9">
        <v>1</v>
      </c>
      <c r="D5" s="10">
        <v>9800</v>
      </c>
      <c r="E5" s="11">
        <v>10000</v>
      </c>
      <c r="F5" s="12"/>
    </row>
    <row r="6" spans="1:8" ht="31.5" x14ac:dyDescent="0.25">
      <c r="A6" s="7" t="s">
        <v>6</v>
      </c>
      <c r="B6" s="14" t="s">
        <v>27</v>
      </c>
      <c r="C6" s="9">
        <v>1</v>
      </c>
      <c r="D6" s="10">
        <v>11800</v>
      </c>
      <c r="E6" s="15">
        <v>12000</v>
      </c>
      <c r="F6" s="12"/>
    </row>
    <row r="7" spans="1:8" ht="15.75" x14ac:dyDescent="0.25">
      <c r="A7" s="7" t="s">
        <v>7</v>
      </c>
      <c r="B7" s="16" t="s">
        <v>29</v>
      </c>
      <c r="C7" s="9">
        <v>1</v>
      </c>
      <c r="D7" s="10">
        <v>6500</v>
      </c>
      <c r="E7" s="15">
        <v>6500</v>
      </c>
      <c r="F7" s="12"/>
    </row>
    <row r="8" spans="1:8" ht="15.75" x14ac:dyDescent="0.25">
      <c r="A8" s="7" t="s">
        <v>8</v>
      </c>
      <c r="B8" s="17" t="s">
        <v>17</v>
      </c>
      <c r="C8" s="9">
        <v>1</v>
      </c>
      <c r="D8" s="10">
        <v>22000</v>
      </c>
      <c r="E8" s="15">
        <v>23000</v>
      </c>
      <c r="F8" s="12"/>
    </row>
    <row r="9" spans="1:8" ht="15.75" x14ac:dyDescent="0.25">
      <c r="A9" s="7" t="s">
        <v>9</v>
      </c>
      <c r="B9" s="14" t="s">
        <v>24</v>
      </c>
      <c r="C9" s="9">
        <v>1</v>
      </c>
      <c r="D9" s="10">
        <v>5000</v>
      </c>
      <c r="E9" s="15">
        <v>5000</v>
      </c>
      <c r="F9" s="12"/>
    </row>
    <row r="10" spans="1:8" ht="15.75" x14ac:dyDescent="0.25">
      <c r="A10" s="7" t="s">
        <v>10</v>
      </c>
      <c r="B10" s="14" t="s">
        <v>25</v>
      </c>
      <c r="C10" s="9">
        <v>1</v>
      </c>
      <c r="D10" s="10">
        <v>4300</v>
      </c>
      <c r="E10" s="18">
        <v>5000</v>
      </c>
      <c r="F10" s="12"/>
    </row>
    <row r="11" spans="1:8" ht="15.75" x14ac:dyDescent="0.25">
      <c r="A11" s="7"/>
      <c r="B11" s="14" t="s">
        <v>22</v>
      </c>
      <c r="C11" s="9">
        <v>1</v>
      </c>
      <c r="D11" s="10">
        <v>1000</v>
      </c>
      <c r="E11" s="18">
        <v>1000</v>
      </c>
      <c r="F11" s="12"/>
    </row>
    <row r="12" spans="1:8" ht="15.75" x14ac:dyDescent="0.25">
      <c r="A12" s="7" t="s">
        <v>15</v>
      </c>
      <c r="B12" s="12" t="s">
        <v>18</v>
      </c>
      <c r="C12" s="9">
        <v>1</v>
      </c>
      <c r="D12" s="19">
        <v>6800</v>
      </c>
      <c r="E12" s="20">
        <v>7000</v>
      </c>
      <c r="F12" s="12"/>
      <c r="H12" t="s">
        <v>20</v>
      </c>
    </row>
    <row r="13" spans="1:8" ht="15.75" x14ac:dyDescent="0.25">
      <c r="A13" s="7"/>
      <c r="B13" s="21"/>
      <c r="C13" s="22" t="s">
        <v>14</v>
      </c>
      <c r="D13" s="23"/>
      <c r="E13" s="6">
        <f>SUM(E4:E12)</f>
        <v>73500</v>
      </c>
      <c r="F13" s="12"/>
    </row>
    <row r="14" spans="1:8" ht="15.75" x14ac:dyDescent="0.25">
      <c r="A14" s="7"/>
      <c r="B14" s="21"/>
      <c r="C14" s="28">
        <v>0.15</v>
      </c>
      <c r="D14" s="23"/>
      <c r="E14" s="24">
        <f>E13*15%</f>
        <v>11025</v>
      </c>
      <c r="F14" s="6">
        <f>E14*15</f>
        <v>165375</v>
      </c>
    </row>
    <row r="15" spans="1:8" ht="15.75" x14ac:dyDescent="0.25">
      <c r="A15" s="7"/>
      <c r="B15" s="7"/>
      <c r="C15" s="22" t="s">
        <v>30</v>
      </c>
      <c r="D15" s="25"/>
      <c r="E15" s="6">
        <f>SUM(E13:E14)</f>
        <v>84525</v>
      </c>
      <c r="F15" s="5">
        <f>E15*15</f>
        <v>1267875</v>
      </c>
    </row>
    <row r="16" spans="1:8" ht="15.75" x14ac:dyDescent="0.25">
      <c r="A16" s="7"/>
      <c r="B16" s="7"/>
      <c r="C16" s="26" t="s">
        <v>11</v>
      </c>
      <c r="D16" s="27"/>
      <c r="E16" s="5">
        <f>E15*18%</f>
        <v>15214.5</v>
      </c>
      <c r="F16" s="5">
        <f>F15*18%</f>
        <v>228217.5</v>
      </c>
    </row>
    <row r="17" spans="1:6" ht="15.75" x14ac:dyDescent="0.25">
      <c r="A17" s="7"/>
      <c r="B17" s="7"/>
      <c r="C17" s="26" t="s">
        <v>12</v>
      </c>
      <c r="D17" s="27"/>
      <c r="E17" s="5">
        <f>SUM(E15:E16)</f>
        <v>99739.5</v>
      </c>
      <c r="F17" s="5">
        <f>SUM(F15:F16)</f>
        <v>1496092.5</v>
      </c>
    </row>
    <row r="19" spans="1:6" x14ac:dyDescent="0.25">
      <c r="A19" s="4" t="s">
        <v>0</v>
      </c>
      <c r="B19" s="4" t="s">
        <v>1</v>
      </c>
      <c r="C19" s="4" t="s">
        <v>2</v>
      </c>
      <c r="D19" s="4" t="s">
        <v>13</v>
      </c>
      <c r="E19" s="4" t="s">
        <v>3</v>
      </c>
      <c r="F19" s="4" t="s">
        <v>16</v>
      </c>
    </row>
    <row r="20" spans="1:6" ht="15.75" x14ac:dyDescent="0.25">
      <c r="A20" s="7" t="s">
        <v>4</v>
      </c>
      <c r="B20" s="8" t="s">
        <v>26</v>
      </c>
      <c r="C20" s="9">
        <v>1</v>
      </c>
      <c r="D20" s="10">
        <v>3500</v>
      </c>
      <c r="E20" s="11">
        <v>4000</v>
      </c>
      <c r="F20" s="12"/>
    </row>
    <row r="21" spans="1:6" ht="15.75" x14ac:dyDescent="0.25">
      <c r="A21" s="7" t="s">
        <v>5</v>
      </c>
      <c r="B21" s="13" t="s">
        <v>28</v>
      </c>
      <c r="C21" s="9">
        <v>1</v>
      </c>
      <c r="D21" s="10">
        <v>9800</v>
      </c>
      <c r="E21" s="11">
        <v>10000</v>
      </c>
      <c r="F21" s="12"/>
    </row>
    <row r="22" spans="1:6" ht="31.5" x14ac:dyDescent="0.25">
      <c r="A22" s="7" t="s">
        <v>6</v>
      </c>
      <c r="B22" s="14" t="s">
        <v>27</v>
      </c>
      <c r="C22" s="9">
        <v>1</v>
      </c>
      <c r="D22" s="10">
        <v>11800</v>
      </c>
      <c r="E22" s="15">
        <v>12000</v>
      </c>
      <c r="F22" s="12"/>
    </row>
    <row r="23" spans="1:6" ht="15.75" x14ac:dyDescent="0.25">
      <c r="A23" s="7" t="s">
        <v>7</v>
      </c>
      <c r="B23" s="16" t="s">
        <v>29</v>
      </c>
      <c r="C23" s="9">
        <v>1</v>
      </c>
      <c r="D23" s="10">
        <v>6500</v>
      </c>
      <c r="E23" s="15">
        <v>6500</v>
      </c>
      <c r="F23" s="12"/>
    </row>
    <row r="24" spans="1:6" ht="15.75" x14ac:dyDescent="0.25">
      <c r="A24" s="7" t="s">
        <v>8</v>
      </c>
      <c r="B24" s="17" t="s">
        <v>17</v>
      </c>
      <c r="C24" s="9">
        <v>1</v>
      </c>
      <c r="D24" s="10">
        <v>22000</v>
      </c>
      <c r="E24" s="15">
        <v>23000</v>
      </c>
      <c r="F24" s="12"/>
    </row>
    <row r="25" spans="1:6" ht="15.75" x14ac:dyDescent="0.25">
      <c r="A25" s="7" t="s">
        <v>9</v>
      </c>
      <c r="B25" s="14" t="s">
        <v>24</v>
      </c>
      <c r="C25" s="9">
        <v>1</v>
      </c>
      <c r="D25" s="10">
        <v>5000</v>
      </c>
      <c r="E25" s="15">
        <v>5000</v>
      </c>
      <c r="F25" s="12"/>
    </row>
    <row r="26" spans="1:6" ht="15.75" x14ac:dyDescent="0.25">
      <c r="A26" s="7" t="s">
        <v>23</v>
      </c>
      <c r="B26" s="14" t="s">
        <v>21</v>
      </c>
      <c r="C26" s="9">
        <v>1</v>
      </c>
      <c r="D26" s="10">
        <v>6300</v>
      </c>
      <c r="E26" s="15">
        <v>6500</v>
      </c>
      <c r="F26" s="12"/>
    </row>
    <row r="27" spans="1:6" ht="15.75" x14ac:dyDescent="0.25">
      <c r="A27" s="7" t="s">
        <v>10</v>
      </c>
      <c r="B27" s="14" t="s">
        <v>19</v>
      </c>
      <c r="C27" s="9">
        <v>1</v>
      </c>
      <c r="D27" s="10">
        <v>7000</v>
      </c>
      <c r="E27" s="18">
        <v>8000</v>
      </c>
      <c r="F27" s="12"/>
    </row>
    <row r="28" spans="1:6" ht="15.75" x14ac:dyDescent="0.25">
      <c r="A28" s="7"/>
      <c r="B28" s="14" t="s">
        <v>22</v>
      </c>
      <c r="C28" s="9">
        <v>1</v>
      </c>
      <c r="D28" s="10">
        <v>1000</v>
      </c>
      <c r="E28" s="18">
        <v>1000</v>
      </c>
      <c r="F28" s="12"/>
    </row>
    <row r="29" spans="1:6" ht="15.75" x14ac:dyDescent="0.25">
      <c r="A29" s="7" t="s">
        <v>15</v>
      </c>
      <c r="B29" s="12" t="s">
        <v>18</v>
      </c>
      <c r="C29" s="9">
        <v>1</v>
      </c>
      <c r="D29" s="19">
        <v>6800</v>
      </c>
      <c r="E29" s="20">
        <v>7000</v>
      </c>
      <c r="F29" s="12"/>
    </row>
    <row r="30" spans="1:6" ht="15.75" x14ac:dyDescent="0.25">
      <c r="A30" s="7"/>
      <c r="B30" s="21"/>
      <c r="C30" s="22" t="s">
        <v>14</v>
      </c>
      <c r="D30" s="23"/>
      <c r="E30" s="6">
        <f>SUM(E20:E29)</f>
        <v>83000</v>
      </c>
      <c r="F30" s="12"/>
    </row>
    <row r="31" spans="1:6" ht="15.75" x14ac:dyDescent="0.25">
      <c r="A31" s="7"/>
      <c r="B31" s="21"/>
      <c r="C31" s="28">
        <v>0.15</v>
      </c>
      <c r="D31" s="23"/>
      <c r="E31" s="24">
        <f>E30*15%</f>
        <v>12450</v>
      </c>
      <c r="F31" s="6">
        <f>E31*15</f>
        <v>186750</v>
      </c>
    </row>
    <row r="32" spans="1:6" ht="15.75" x14ac:dyDescent="0.25">
      <c r="A32" s="7"/>
      <c r="B32" s="7"/>
      <c r="C32" s="22" t="s">
        <v>30</v>
      </c>
      <c r="D32" s="25"/>
      <c r="E32" s="6">
        <f>SUM(E30:E31)</f>
        <v>95450</v>
      </c>
      <c r="F32" s="5">
        <f>E32*15</f>
        <v>1431750</v>
      </c>
    </row>
    <row r="33" spans="1:6" ht="15.75" x14ac:dyDescent="0.25">
      <c r="A33" s="7"/>
      <c r="B33" s="7"/>
      <c r="C33" s="26" t="s">
        <v>11</v>
      </c>
      <c r="D33" s="27"/>
      <c r="E33" s="5">
        <f>E32*18%</f>
        <v>17181</v>
      </c>
      <c r="F33" s="5">
        <f>F32*18%</f>
        <v>257715</v>
      </c>
    </row>
    <row r="34" spans="1:6" ht="15.75" x14ac:dyDescent="0.25">
      <c r="A34" s="7"/>
      <c r="B34" s="7"/>
      <c r="C34" s="26" t="s">
        <v>12</v>
      </c>
      <c r="D34" s="27"/>
      <c r="E34" s="5">
        <f>SUM(E32:E33)</f>
        <v>112631</v>
      </c>
      <c r="F34" s="5">
        <f>SUM(F32:F33)</f>
        <v>1689465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2026-09-24T18:29:43Z</dcterms:modified>
</cp:coreProperties>
</file>