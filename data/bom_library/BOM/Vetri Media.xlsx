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2" i="1" l="1"/>
  <c r="E153" i="1" s="1"/>
  <c r="E154" i="1" l="1"/>
  <c r="E155" i="1" l="1"/>
  <c r="E156" i="1" s="1"/>
  <c r="E46" i="1" l="1"/>
  <c r="F14" i="1"/>
  <c r="F15" i="1" s="1"/>
  <c r="E15" i="1"/>
  <c r="E16" i="1" s="1"/>
  <c r="F16" i="1" s="1"/>
  <c r="F17" i="1" s="1"/>
  <c r="F18" i="1" l="1"/>
  <c r="I16" i="1"/>
  <c r="E17" i="1"/>
  <c r="E18" i="1"/>
  <c r="E128" i="1"/>
  <c r="E132" i="1" s="1"/>
  <c r="E133" i="1" s="1"/>
  <c r="E134" i="1" s="1"/>
  <c r="E108" i="1"/>
  <c r="E114" i="1" s="1"/>
  <c r="E88" i="1"/>
  <c r="E93" i="1" s="1"/>
  <c r="E73" i="1"/>
  <c r="E55" i="1"/>
  <c r="F55" i="1" s="1"/>
  <c r="E34" i="1"/>
  <c r="E135" i="1" l="1"/>
  <c r="E136" i="1" s="1"/>
  <c r="I24" i="1"/>
  <c r="E115" i="1"/>
  <c r="E116" i="1" s="1"/>
  <c r="I23" i="1" s="1"/>
  <c r="F73" i="1"/>
  <c r="F74" i="1" s="1"/>
  <c r="F75" i="1" s="1"/>
  <c r="E74" i="1"/>
  <c r="E75" i="1" s="1"/>
  <c r="F34" i="1"/>
  <c r="E35" i="1"/>
  <c r="E36" i="1" s="1"/>
  <c r="E56" i="1"/>
  <c r="E57" i="1" s="1"/>
  <c r="E58" i="1" s="1"/>
  <c r="F76" i="1" l="1"/>
  <c r="I20" i="1"/>
  <c r="E117" i="1"/>
  <c r="E118" i="1" s="1"/>
  <c r="F93" i="1"/>
  <c r="E94" i="1"/>
  <c r="E95" i="1" s="1"/>
  <c r="E76" i="1"/>
  <c r="E77" i="1" s="1"/>
  <c r="F77" i="1"/>
  <c r="F35" i="1"/>
  <c r="F36" i="1" s="1"/>
  <c r="I17" i="1" s="1"/>
  <c r="E37" i="1"/>
  <c r="E38" i="1"/>
  <c r="F56" i="1"/>
  <c r="F57" i="1" s="1"/>
  <c r="E59" i="1"/>
  <c r="I19" i="1" l="1"/>
  <c r="E96" i="1"/>
  <c r="E97" i="1" s="1"/>
  <c r="F94" i="1"/>
  <c r="F95" i="1" s="1"/>
  <c r="I22" i="1" s="1"/>
  <c r="F37" i="1"/>
  <c r="F38" i="1"/>
  <c r="F58" i="1"/>
  <c r="F59" i="1" s="1"/>
  <c r="I25" i="1" l="1"/>
  <c r="F96" i="1"/>
  <c r="F97" i="1" s="1"/>
  <c r="I26" i="1" l="1"/>
  <c r="I27" i="1" s="1"/>
</calcChain>
</file>

<file path=xl/sharedStrings.xml><?xml version="1.0" encoding="utf-8"?>
<sst xmlns="http://schemas.openxmlformats.org/spreadsheetml/2006/main" count="280" uniqueCount="121">
  <si>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</si>
  <si>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</si>
  <si>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</si>
  <si>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</si>
  <si>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</si>
  <si>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</si>
  <si>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</si>
  <si>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</si>
  <si>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</si>
  <si>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</si>
  <si>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</si>
  <si>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</si>
  <si>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</si>
  <si>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</si>
  <si>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</si>
  <si>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</si>
  <si>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</si>
  <si>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</si>
  <si>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From</t>
  </si>
  <si>
    <t>GPU</t>
  </si>
  <si>
    <t>HDD</t>
  </si>
  <si>
    <t>Unit Price</t>
  </si>
  <si>
    <t xml:space="preserve">Tower Chassis </t>
  </si>
  <si>
    <t xml:space="preserve">Intel® Core™ i9-14900K Processor </t>
  </si>
  <si>
    <t>32GB DDR5 6000MHz</t>
  </si>
  <si>
    <t>RTX 5060 16GB Ti Graphics card</t>
  </si>
  <si>
    <t>2TB SATA SSD</t>
  </si>
  <si>
    <t xml:space="preserve">1TB NVMe PCIe 4.0 SSD </t>
  </si>
  <si>
    <t xml:space="preserve">CPU Cooler </t>
  </si>
  <si>
    <t>360mm Liquid CPU Cooler</t>
  </si>
  <si>
    <t>NIC</t>
  </si>
  <si>
    <t>10G dual card</t>
  </si>
  <si>
    <t>Keyboard &amp; Mouse</t>
  </si>
  <si>
    <t>Wired Keyboard &amp; Mouse</t>
  </si>
  <si>
    <t>Monitor</t>
  </si>
  <si>
    <t>BenQ GW3290QT 32 Inch Monitor</t>
  </si>
  <si>
    <t xml:space="preserve">SMPS 1050W Power Supply </t>
  </si>
  <si>
    <t>Desktop News&amp; Digital</t>
  </si>
  <si>
    <t>ATX Mid Tower</t>
  </si>
  <si>
    <t>Intel® Core™ i5-14400 Processor (10-Cores, base freq 2.50 GHz and max freq 4.7GHz, Cache 20MB)</t>
  </si>
  <si>
    <t>Liquid Cooler</t>
  </si>
  <si>
    <t>16 GB DDR5 5600MT/s</t>
  </si>
  <si>
    <t>512 GB NVMe SSD</t>
  </si>
  <si>
    <t>650 W POWER SUPPLY</t>
  </si>
  <si>
    <t>24" Inch Monitor</t>
  </si>
  <si>
    <t>keyboard Mouse</t>
  </si>
  <si>
    <t xml:space="preserve">Wired Keyboard &amp; Mouse </t>
  </si>
  <si>
    <t>Worstation for editing</t>
  </si>
  <si>
    <t xml:space="preserve">indicate changes if any </t>
  </si>
  <si>
    <t>Arihant</t>
  </si>
  <si>
    <t xml:space="preserve">Unit Price </t>
  </si>
  <si>
    <t>QTY 15</t>
  </si>
  <si>
    <t>Chebro SR 11369</t>
  </si>
  <si>
    <t>960GB SATA SSD</t>
  </si>
  <si>
    <t>960GB M.2 NVMe SSD</t>
  </si>
  <si>
    <t>Dual 10G Card</t>
  </si>
  <si>
    <t xml:space="preserve">Keyboard &amp; Mouse </t>
  </si>
  <si>
    <t>J12</t>
  </si>
  <si>
    <t>Off line Graphics ONlineGRphics</t>
  </si>
  <si>
    <t>Desktop for Client</t>
  </si>
  <si>
    <t xml:space="preserve">mATX Mid Tower </t>
  </si>
  <si>
    <t>Intel® Core™ i7-14700 Processor</t>
  </si>
  <si>
    <t>512 GB NVMe</t>
  </si>
  <si>
    <t>650 power supply</t>
  </si>
  <si>
    <t>24 inch Monitor</t>
  </si>
  <si>
    <t>Dell Wired Keyboard and Mouse</t>
  </si>
  <si>
    <t>QTY-11</t>
  </si>
  <si>
    <t>QTY-15</t>
  </si>
  <si>
    <t>Server FTP, Tally</t>
  </si>
  <si>
    <t>X11DPI-N</t>
  </si>
  <si>
    <t>Intel® Xeon® Gold 6254 Processor (18 Core, 36 Thread, 3.10GHz Base, Up to 4.00GHz, 24.75MB Cache)</t>
  </si>
  <si>
    <t>480GB SATA SSD</t>
  </si>
  <si>
    <t>16TB SAS HDD</t>
  </si>
  <si>
    <t>9460-16i</t>
  </si>
  <si>
    <t>/dual port 25G sfp+ Network card x1no</t>
  </si>
  <si>
    <t>PSU</t>
  </si>
  <si>
    <t>1200W RPS</t>
  </si>
  <si>
    <t xml:space="preserve">Quad Port NIC 10G </t>
  </si>
  <si>
    <t>2U Rack mount chassis</t>
  </si>
  <si>
    <t>Dynatron</t>
  </si>
  <si>
    <t>STORAG</t>
  </si>
  <si>
    <t>4ET</t>
  </si>
  <si>
    <t>16TB SATA HDD</t>
  </si>
  <si>
    <t>Dynatro</t>
  </si>
  <si>
    <t>Raid Cables</t>
  </si>
  <si>
    <t xml:space="preserve">Copilance server storage </t>
  </si>
  <si>
    <t>Mitac single socket</t>
  </si>
  <si>
    <t>Intel® Xeon® Silver 4310 Processor (12 Core, 24 Thread, 2.10GHz Base, Up to 3.40GHz, 18MB Cache, 120W)</t>
  </si>
  <si>
    <t>8TB SATA HDD</t>
  </si>
  <si>
    <t xml:space="preserve">256GB SATA SSD </t>
  </si>
  <si>
    <t xml:space="preserve">Dynatron B5 </t>
  </si>
  <si>
    <t>1000W ATX</t>
  </si>
  <si>
    <t>Air Cooler</t>
  </si>
  <si>
    <t>QTY-40</t>
  </si>
  <si>
    <t>B760M gaming wifi6E gen 5</t>
  </si>
  <si>
    <t xml:space="preserve">Antec VX410 ARGB </t>
  </si>
  <si>
    <t>32GB DDR5 ECC 4800MHz</t>
  </si>
  <si>
    <t>1200W 80 PLUS Platinum Server Power Supply</t>
  </si>
  <si>
    <t>MS03-CE0</t>
  </si>
  <si>
    <t>Intel® Xeon® Silver 4514Y Processor (16-Cores, Base Freq 2GHz, Max Freq 3.4GHz, Cache 30MB)</t>
  </si>
  <si>
    <t xml:space="preserve">B760M gaming x wifi6e </t>
  </si>
  <si>
    <t>QTY-17</t>
  </si>
  <si>
    <t>16GB DDR5</t>
  </si>
  <si>
    <t>NVIDIA RTX 4000 Ada Generation 20GB GDDR6</t>
  </si>
  <si>
    <t>NVIDIA RTX 4000 Ada Generation 24GB GDDR6</t>
  </si>
  <si>
    <t>32GB DDR4 4800MHz</t>
  </si>
  <si>
    <t xml:space="preserve">32GB DDR4 2666MHz </t>
  </si>
  <si>
    <t>32GB DDR4</t>
  </si>
  <si>
    <t xml:space="preserve">Tower chassis </t>
  </si>
  <si>
    <t>IT Gear</t>
  </si>
  <si>
    <t>b760 m gaming wifi 6e 
Intel® B760 Express Chipset</t>
  </si>
  <si>
    <t xml:space="preserve">Intel® Core™ i5 processor 14400 </t>
  </si>
  <si>
    <t>8GB DDR4 3200MHz</t>
  </si>
  <si>
    <t xml:space="preserve">650W ATX </t>
  </si>
  <si>
    <t xml:space="preserve">24" inch monitor </t>
  </si>
  <si>
    <t>Window-11 Pro</t>
  </si>
  <si>
    <t>Keyboard and mouse</t>
  </si>
  <si>
    <t>HP Smart tank printer  585</t>
  </si>
  <si>
    <t>Margin-15%</t>
  </si>
  <si>
    <t>500GB SATA SSD</t>
  </si>
  <si>
    <t>256GB NVMe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</si>
</sst>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9"/>
      <color rgb="FF000000"/>
      <name val="Calibri"/>
      <family val="2"/>
      <scheme val="minor"/>
    </font>
    <font>
      <sz val="10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wrapText="1"/>
    </xf>
    <xf numFmtId="0" fontId="0" fillId="6" borderId="0" xfId="0" applyFill="1"/>
    <xf numFmtId="0" fontId="0" fillId="4" borderId="1" xfId="0" applyFill="1" applyBorder="1" applyAlignment="1">
      <alignment vertical="top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0" fillId="4" borderId="1" xfId="0" applyFill="1" applyBorder="1" applyAlignment="1">
      <alignment wrapText="1"/>
    </xf>
    <xf numFmtId="4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/>
    </xf>
    <xf numFmtId="0" fontId="0" fillId="0" borderId="4" xfId="0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0" fillId="4" borderId="4" xfId="0" applyFill="1" applyBorder="1" applyAlignment="1">
      <alignment wrapText="1"/>
    </xf>
    <xf numFmtId="4" fontId="0" fillId="0" borderId="4" xfId="0" applyNumberFormat="1" applyBorder="1" applyAlignment="1">
      <alignment horizontal="center" wrapText="1"/>
    </xf>
    <xf numFmtId="3" fontId="0" fillId="0" borderId="4" xfId="0" applyNumberFormat="1" applyBorder="1" applyAlignment="1">
      <alignment horizontal="center" vertical="center" wrapText="1"/>
    </xf>
    <xf numFmtId="0" fontId="0" fillId="0" borderId="5" xfId="0" applyBorder="1"/>
    <xf numFmtId="4" fontId="4" fillId="0" borderId="4" xfId="0" applyNumberFormat="1" applyFont="1" applyBorder="1" applyAlignment="1">
      <alignment horizontal="right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6" borderId="1" xfId="0" applyFill="1" applyBorder="1" applyAlignment="1">
      <alignment wrapText="1"/>
    </xf>
    <xf numFmtId="9" fontId="0" fillId="4" borderId="1" xfId="0" applyNumberFormat="1" applyFill="1" applyBorder="1" applyAlignment="1">
      <alignment wrapText="1"/>
    </xf>
    <xf numFmtId="4" fontId="0" fillId="0" borderId="0" xfId="0" applyNumberFormat="1"/>
    <xf numFmtId="0" fontId="0" fillId="4" borderId="1" xfId="0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wrapText="1"/>
    </xf>
    <xf numFmtId="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topLeftCell="A126" zoomScale="61" zoomScaleNormal="70" workbookViewId="0">
      <selection activeCell="G147" sqref="G147"/>
    </sheetView>
  </sheetViews>
  <sheetFormatPr defaultRowHeight="15" x14ac:dyDescent="0.25"/>
  <cols>
    <col min="1" max="1" width="15.28515625" customWidth="1"/>
    <col min="2" max="2" width="49.28515625" customWidth="1"/>
    <col min="3" max="3" width="14.140625" customWidth="1"/>
    <col min="4" max="4" width="15.5703125" customWidth="1"/>
    <col min="5" max="5" width="16.7109375" customWidth="1"/>
    <col min="6" max="6" width="15" customWidth="1"/>
    <col min="9" max="9" width="22.570312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54"/>
      <c r="E2" s="55"/>
      <c r="F2" s="3"/>
    </row>
    <row r="3" spans="1:9" x14ac:dyDescent="0.25">
      <c r="B3" s="32" t="s">
        <v>37</v>
      </c>
    </row>
    <row r="4" spans="1:9" x14ac:dyDescent="0.25">
      <c r="A4" s="33" t="s">
        <v>3</v>
      </c>
      <c r="B4" s="33" t="s">
        <v>4</v>
      </c>
      <c r="C4" s="33" t="s">
        <v>5</v>
      </c>
      <c r="D4" s="33" t="s">
        <v>16</v>
      </c>
      <c r="E4" s="33" t="s">
        <v>6</v>
      </c>
      <c r="F4" s="33" t="s">
        <v>18</v>
      </c>
    </row>
    <row r="5" spans="1:9" ht="15.75" x14ac:dyDescent="0.25">
      <c r="A5" s="8" t="s">
        <v>7</v>
      </c>
      <c r="B5" s="9" t="s">
        <v>38</v>
      </c>
      <c r="C5" s="10">
        <v>1</v>
      </c>
      <c r="D5" s="11">
        <v>4500</v>
      </c>
      <c r="E5" s="12">
        <v>4500</v>
      </c>
      <c r="F5" s="13"/>
    </row>
    <row r="6" spans="1:9" ht="15.75" x14ac:dyDescent="0.25">
      <c r="A6" s="8" t="s">
        <v>8</v>
      </c>
      <c r="B6" s="14" t="s">
        <v>94</v>
      </c>
      <c r="C6" s="10">
        <v>1</v>
      </c>
      <c r="D6" s="11">
        <v>9900</v>
      </c>
      <c r="E6" s="12">
        <v>9900</v>
      </c>
      <c r="F6" s="13"/>
    </row>
    <row r="7" spans="1:9" ht="31.5" x14ac:dyDescent="0.25">
      <c r="A7" s="8" t="s">
        <v>9</v>
      </c>
      <c r="B7" s="15" t="s">
        <v>39</v>
      </c>
      <c r="C7" s="10">
        <v>1</v>
      </c>
      <c r="D7" s="11">
        <v>15500</v>
      </c>
      <c r="E7" s="16">
        <v>18500</v>
      </c>
      <c r="F7" s="13"/>
    </row>
    <row r="8" spans="1:9" ht="15.75" x14ac:dyDescent="0.25">
      <c r="A8" s="8" t="s">
        <v>10</v>
      </c>
      <c r="B8" s="17" t="s">
        <v>92</v>
      </c>
      <c r="C8" s="10">
        <v>1</v>
      </c>
      <c r="D8" s="11">
        <v>5500</v>
      </c>
      <c r="E8" s="16">
        <v>5500</v>
      </c>
      <c r="F8" s="13"/>
    </row>
    <row r="9" spans="1:9" ht="15.75" x14ac:dyDescent="0.25">
      <c r="A9" s="8" t="s">
        <v>11</v>
      </c>
      <c r="B9" s="18" t="s">
        <v>41</v>
      </c>
      <c r="C9" s="10">
        <v>1</v>
      </c>
      <c r="D9" s="11">
        <v>22000</v>
      </c>
      <c r="E9" s="16">
        <v>25000</v>
      </c>
      <c r="F9" s="13"/>
    </row>
    <row r="10" spans="1:9" ht="15.75" x14ac:dyDescent="0.25">
      <c r="A10" s="8" t="s">
        <v>12</v>
      </c>
      <c r="B10" s="15" t="s">
        <v>42</v>
      </c>
      <c r="C10" s="10">
        <v>1</v>
      </c>
      <c r="D10" s="11">
        <v>9500</v>
      </c>
      <c r="E10" s="16">
        <v>10000</v>
      </c>
      <c r="F10" s="13"/>
    </row>
    <row r="11" spans="1:9" ht="15.75" x14ac:dyDescent="0.25">
      <c r="A11" s="8" t="s">
        <v>13</v>
      </c>
      <c r="B11" s="15" t="s">
        <v>43</v>
      </c>
      <c r="C11" s="10">
        <v>1</v>
      </c>
      <c r="D11" s="11">
        <v>4000</v>
      </c>
      <c r="E11" s="19">
        <v>4500</v>
      </c>
      <c r="F11" s="13"/>
    </row>
    <row r="12" spans="1:9" ht="15.75" x14ac:dyDescent="0.25">
      <c r="A12" s="8" t="s">
        <v>34</v>
      </c>
      <c r="B12" s="13" t="s">
        <v>44</v>
      </c>
      <c r="C12" s="10">
        <v>1</v>
      </c>
      <c r="D12" s="34">
        <v>7000</v>
      </c>
      <c r="E12" s="35">
        <v>7000</v>
      </c>
      <c r="F12" s="13"/>
    </row>
    <row r="13" spans="1:9" ht="31.5" x14ac:dyDescent="0.25">
      <c r="A13" s="8" t="s">
        <v>45</v>
      </c>
      <c r="B13" s="18" t="s">
        <v>46</v>
      </c>
      <c r="C13" s="10">
        <v>1</v>
      </c>
      <c r="D13" s="11">
        <v>1000</v>
      </c>
      <c r="E13" s="19">
        <v>1000</v>
      </c>
      <c r="F13" s="13" t="s">
        <v>93</v>
      </c>
    </row>
    <row r="14" spans="1:9" ht="16.149999999999999" customHeight="1" x14ac:dyDescent="0.25">
      <c r="A14" s="8"/>
      <c r="B14" s="20"/>
      <c r="C14" s="21" t="s">
        <v>17</v>
      </c>
      <c r="D14" s="22"/>
      <c r="E14" s="7">
        <v>90500</v>
      </c>
      <c r="F14" s="7">
        <f>E14*40</f>
        <v>3620000</v>
      </c>
    </row>
    <row r="15" spans="1:9" ht="16.149999999999999" customHeight="1" x14ac:dyDescent="0.25">
      <c r="A15" s="8"/>
      <c r="B15" s="20"/>
      <c r="C15" s="21"/>
      <c r="D15" s="22"/>
      <c r="E15" s="7">
        <f>E14*20%</f>
        <v>18100</v>
      </c>
      <c r="F15" s="7">
        <f>F14*20%</f>
        <v>724000</v>
      </c>
    </row>
    <row r="16" spans="1:9" ht="18" customHeight="1" x14ac:dyDescent="0.25">
      <c r="A16" s="8"/>
      <c r="B16" s="8"/>
      <c r="C16" s="21" t="s">
        <v>21</v>
      </c>
      <c r="D16" s="23"/>
      <c r="E16" s="7">
        <f>SUM(E14:E15)</f>
        <v>108600</v>
      </c>
      <c r="F16" s="7">
        <f>E16*40</f>
        <v>4344000</v>
      </c>
      <c r="I16" s="7">
        <f>F16</f>
        <v>4344000</v>
      </c>
    </row>
    <row r="17" spans="1:9" ht="15.75" x14ac:dyDescent="0.25">
      <c r="A17" s="8"/>
      <c r="B17" s="8"/>
      <c r="C17" s="24" t="s">
        <v>14</v>
      </c>
      <c r="D17" s="25"/>
      <c r="E17" s="6">
        <f>E16*18%</f>
        <v>19548</v>
      </c>
      <c r="F17" s="6">
        <f>F16*18%</f>
        <v>781920</v>
      </c>
      <c r="I17" s="60">
        <f>F36</f>
        <v>8339400</v>
      </c>
    </row>
    <row r="18" spans="1:9" ht="15.75" x14ac:dyDescent="0.25">
      <c r="A18" s="8"/>
      <c r="B18" s="8"/>
      <c r="C18" s="24" t="s">
        <v>15</v>
      </c>
      <c r="D18" s="25"/>
      <c r="E18" s="6">
        <f>SUM(E16:E17)</f>
        <v>128148</v>
      </c>
      <c r="F18" s="6">
        <f>SUM(F16:F17)</f>
        <v>5125920</v>
      </c>
      <c r="I18" s="60"/>
    </row>
    <row r="19" spans="1:9" x14ac:dyDescent="0.25">
      <c r="I19" s="60">
        <f>F57</f>
        <v>14183400</v>
      </c>
    </row>
    <row r="20" spans="1:9" x14ac:dyDescent="0.25">
      <c r="A20" s="4" t="s">
        <v>1</v>
      </c>
      <c r="B20" s="58" t="s">
        <v>47</v>
      </c>
      <c r="C20" s="36" t="s">
        <v>2</v>
      </c>
      <c r="D20" s="56"/>
      <c r="E20" s="57"/>
      <c r="F20" s="27"/>
      <c r="I20" s="60">
        <f>F75</f>
        <v>2668320</v>
      </c>
    </row>
    <row r="21" spans="1:9" ht="30" x14ac:dyDescent="0.25">
      <c r="A21" s="33" t="s">
        <v>3</v>
      </c>
      <c r="B21" s="33" t="s">
        <v>4</v>
      </c>
      <c r="C21" s="33" t="s">
        <v>5</v>
      </c>
      <c r="D21" s="33" t="s">
        <v>16</v>
      </c>
      <c r="E21" s="33" t="s">
        <v>6</v>
      </c>
      <c r="F21" s="33" t="s">
        <v>48</v>
      </c>
      <c r="I21" s="60"/>
    </row>
    <row r="22" spans="1:9" x14ac:dyDescent="0.25">
      <c r="A22" s="26" t="s">
        <v>7</v>
      </c>
      <c r="B22" s="27" t="s">
        <v>95</v>
      </c>
      <c r="C22" s="31">
        <v>1</v>
      </c>
      <c r="D22" s="38">
        <v>3500</v>
      </c>
      <c r="E22" s="38">
        <v>4500</v>
      </c>
      <c r="F22" s="27"/>
      <c r="I22" s="60">
        <f>F95</f>
        <v>2190600</v>
      </c>
    </row>
    <row r="23" spans="1:9" ht="15.75" x14ac:dyDescent="0.25">
      <c r="A23" s="26" t="s">
        <v>8</v>
      </c>
      <c r="B23" s="14" t="s">
        <v>94</v>
      </c>
      <c r="C23" s="10">
        <v>1</v>
      </c>
      <c r="D23" s="11">
        <v>9900</v>
      </c>
      <c r="E23" s="38">
        <v>12000</v>
      </c>
      <c r="F23" s="27"/>
      <c r="I23" s="60">
        <f>E116</f>
        <v>2038200</v>
      </c>
    </row>
    <row r="24" spans="1:9" x14ac:dyDescent="0.25">
      <c r="A24" s="26" t="s">
        <v>9</v>
      </c>
      <c r="B24" s="29" t="s">
        <v>23</v>
      </c>
      <c r="C24" s="31">
        <v>1</v>
      </c>
      <c r="D24" s="38">
        <v>39500</v>
      </c>
      <c r="E24" s="38">
        <v>40000</v>
      </c>
      <c r="F24" s="27"/>
      <c r="I24" s="60">
        <f>E134</f>
        <v>523920</v>
      </c>
    </row>
    <row r="25" spans="1:9" x14ac:dyDescent="0.25">
      <c r="A25" s="26" t="s">
        <v>11</v>
      </c>
      <c r="B25" s="30" t="s">
        <v>24</v>
      </c>
      <c r="C25" s="31">
        <v>2</v>
      </c>
      <c r="D25" s="38">
        <v>60000</v>
      </c>
      <c r="E25" s="38">
        <v>120000</v>
      </c>
      <c r="F25" s="27"/>
      <c r="I25" s="60">
        <f>SUM(I16:I24)</f>
        <v>34287840</v>
      </c>
    </row>
    <row r="26" spans="1:9" x14ac:dyDescent="0.25">
      <c r="A26" s="26" t="s">
        <v>19</v>
      </c>
      <c r="B26" s="30" t="s">
        <v>25</v>
      </c>
      <c r="C26" s="31">
        <v>1</v>
      </c>
      <c r="D26" s="38">
        <v>180000</v>
      </c>
      <c r="E26" s="38">
        <v>180000</v>
      </c>
      <c r="F26" s="27"/>
      <c r="I26" s="60">
        <f>I25*18%</f>
        <v>6171811.2000000002</v>
      </c>
    </row>
    <row r="27" spans="1:9" x14ac:dyDescent="0.25">
      <c r="A27" s="26" t="s">
        <v>12</v>
      </c>
      <c r="B27" s="28" t="s">
        <v>26</v>
      </c>
      <c r="C27" s="31">
        <v>1</v>
      </c>
      <c r="D27" s="38">
        <v>23000</v>
      </c>
      <c r="E27" s="38">
        <v>23000</v>
      </c>
      <c r="F27" s="27"/>
      <c r="I27" s="60">
        <f>SUM(I25:I26)</f>
        <v>40459651.200000003</v>
      </c>
    </row>
    <row r="28" spans="1:9" x14ac:dyDescent="0.25">
      <c r="A28" s="26" t="s">
        <v>12</v>
      </c>
      <c r="B28" s="28" t="s">
        <v>27</v>
      </c>
      <c r="C28" s="31">
        <v>1</v>
      </c>
      <c r="D28" s="38">
        <v>14800</v>
      </c>
      <c r="E28" s="38">
        <v>15000</v>
      </c>
      <c r="F28" s="27"/>
    </row>
    <row r="29" spans="1:9" x14ac:dyDescent="0.25">
      <c r="A29" s="27" t="s">
        <v>28</v>
      </c>
      <c r="B29" s="28" t="s">
        <v>29</v>
      </c>
      <c r="C29" s="31">
        <v>1</v>
      </c>
      <c r="D29" s="38">
        <v>6800</v>
      </c>
      <c r="E29" s="38">
        <v>7000</v>
      </c>
      <c r="F29" s="27"/>
    </row>
    <row r="30" spans="1:9" x14ac:dyDescent="0.25">
      <c r="A30" s="26" t="s">
        <v>30</v>
      </c>
      <c r="B30" s="28" t="s">
        <v>31</v>
      </c>
      <c r="C30" s="31">
        <v>1</v>
      </c>
      <c r="D30" s="38">
        <v>15000</v>
      </c>
      <c r="E30" s="38">
        <v>15000</v>
      </c>
      <c r="F30" s="27" t="s">
        <v>49</v>
      </c>
    </row>
    <row r="31" spans="1:9" ht="30" x14ac:dyDescent="0.25">
      <c r="A31" s="26" t="s">
        <v>32</v>
      </c>
      <c r="B31" s="28" t="s">
        <v>33</v>
      </c>
      <c r="C31" s="31">
        <v>1</v>
      </c>
      <c r="D31" s="38">
        <v>800</v>
      </c>
      <c r="E31" s="38">
        <v>800</v>
      </c>
      <c r="F31" s="27"/>
    </row>
    <row r="32" spans="1:9" x14ac:dyDescent="0.25">
      <c r="A32" s="26" t="s">
        <v>34</v>
      </c>
      <c r="B32" s="28" t="s">
        <v>35</v>
      </c>
      <c r="C32" s="31">
        <v>1</v>
      </c>
      <c r="D32" s="38">
        <v>36999</v>
      </c>
      <c r="E32" s="38">
        <v>33000</v>
      </c>
      <c r="F32" s="27"/>
    </row>
    <row r="33" spans="1:6" x14ac:dyDescent="0.25">
      <c r="A33" s="26" t="s">
        <v>13</v>
      </c>
      <c r="B33" s="28" t="s">
        <v>36</v>
      </c>
      <c r="C33" s="31">
        <v>1</v>
      </c>
      <c r="D33" s="38">
        <v>13000</v>
      </c>
      <c r="E33" s="38">
        <v>13000</v>
      </c>
      <c r="F33" s="27" t="s">
        <v>67</v>
      </c>
    </row>
    <row r="34" spans="1:6" x14ac:dyDescent="0.25">
      <c r="A34" s="26"/>
      <c r="B34" s="39" t="s">
        <v>51</v>
      </c>
      <c r="C34" s="40" t="s">
        <v>17</v>
      </c>
      <c r="D34" s="41"/>
      <c r="E34" s="42">
        <f>SUM(E22:E33)</f>
        <v>463300</v>
      </c>
      <c r="F34" s="42">
        <f>E34*15</f>
        <v>6949500</v>
      </c>
    </row>
    <row r="35" spans="1:6" x14ac:dyDescent="0.25">
      <c r="A35" s="26"/>
      <c r="B35" s="39"/>
      <c r="C35" s="59">
        <v>0.2</v>
      </c>
      <c r="D35" s="41"/>
      <c r="E35" s="42">
        <f>E34*20%</f>
        <v>92660</v>
      </c>
      <c r="F35" s="42">
        <f>F34*20%</f>
        <v>1389900</v>
      </c>
    </row>
    <row r="36" spans="1:6" x14ac:dyDescent="0.25">
      <c r="A36" s="26"/>
      <c r="B36" s="26"/>
      <c r="C36" s="40" t="s">
        <v>50</v>
      </c>
      <c r="D36" s="42"/>
      <c r="E36" s="44">
        <f>SUM(E34:E35)</f>
        <v>555960</v>
      </c>
      <c r="F36" s="44">
        <f>SUM(F34:F35)</f>
        <v>8339400</v>
      </c>
    </row>
    <row r="37" spans="1:6" x14ac:dyDescent="0.25">
      <c r="A37" s="26"/>
      <c r="B37" s="26"/>
      <c r="C37" s="33" t="s">
        <v>14</v>
      </c>
      <c r="D37" s="43"/>
      <c r="E37" s="44">
        <f>E36*18%</f>
        <v>100072.8</v>
      </c>
      <c r="F37" s="44">
        <f>F36*18%</f>
        <v>1501092</v>
      </c>
    </row>
    <row r="38" spans="1:6" x14ac:dyDescent="0.25">
      <c r="A38" s="26"/>
      <c r="B38" s="26"/>
      <c r="C38" s="33" t="s">
        <v>15</v>
      </c>
      <c r="D38" s="43"/>
      <c r="E38" s="44">
        <f>SUM(E36:E37)</f>
        <v>656032.80000000005</v>
      </c>
      <c r="F38" s="44">
        <f>SUM(F36:F37)</f>
        <v>9840492</v>
      </c>
    </row>
    <row r="41" spans="1:6" x14ac:dyDescent="0.25">
      <c r="A41" s="4" t="s">
        <v>1</v>
      </c>
      <c r="B41" s="58" t="s">
        <v>58</v>
      </c>
      <c r="C41" s="36" t="s">
        <v>2</v>
      </c>
      <c r="D41" s="56"/>
      <c r="E41" s="57"/>
      <c r="F41" s="27"/>
    </row>
    <row r="42" spans="1:6" ht="30" x14ac:dyDescent="0.25">
      <c r="A42" s="33" t="s">
        <v>3</v>
      </c>
      <c r="B42" s="33" t="s">
        <v>4</v>
      </c>
      <c r="C42" s="33" t="s">
        <v>5</v>
      </c>
      <c r="D42" s="33" t="s">
        <v>16</v>
      </c>
      <c r="E42" s="33" t="s">
        <v>6</v>
      </c>
      <c r="F42" s="33" t="s">
        <v>48</v>
      </c>
    </row>
    <row r="43" spans="1:6" x14ac:dyDescent="0.25">
      <c r="A43" s="26" t="s">
        <v>7</v>
      </c>
      <c r="B43" s="27" t="s">
        <v>52</v>
      </c>
      <c r="C43" s="31">
        <v>1</v>
      </c>
      <c r="D43" s="38">
        <v>65000</v>
      </c>
      <c r="E43" s="38">
        <v>65000</v>
      </c>
      <c r="F43" s="27"/>
    </row>
    <row r="44" spans="1:6" x14ac:dyDescent="0.25">
      <c r="A44" s="26" t="s">
        <v>8</v>
      </c>
      <c r="B44" s="27" t="s">
        <v>98</v>
      </c>
      <c r="C44" s="31">
        <v>1</v>
      </c>
      <c r="D44" s="38">
        <v>72000</v>
      </c>
      <c r="E44" s="38">
        <v>75000</v>
      </c>
      <c r="F44" s="27"/>
    </row>
    <row r="45" spans="1:6" ht="30" x14ac:dyDescent="0.25">
      <c r="A45" s="26" t="s">
        <v>9</v>
      </c>
      <c r="B45" s="29" t="s">
        <v>99</v>
      </c>
      <c r="C45" s="31">
        <v>1</v>
      </c>
      <c r="D45" s="38">
        <v>115000</v>
      </c>
      <c r="E45" s="38">
        <v>115000</v>
      </c>
      <c r="F45" s="27"/>
    </row>
    <row r="46" spans="1:6" x14ac:dyDescent="0.25">
      <c r="A46" s="26" t="s">
        <v>11</v>
      </c>
      <c r="B46" s="30" t="s">
        <v>96</v>
      </c>
      <c r="C46" s="31">
        <v>4</v>
      </c>
      <c r="D46" s="38">
        <v>100000</v>
      </c>
      <c r="E46" s="38">
        <f>D46*4</f>
        <v>400000</v>
      </c>
      <c r="F46" s="27"/>
    </row>
    <row r="47" spans="1:6" x14ac:dyDescent="0.25">
      <c r="A47" s="26" t="s">
        <v>12</v>
      </c>
      <c r="B47" s="28" t="s">
        <v>53</v>
      </c>
      <c r="C47" s="31">
        <v>1</v>
      </c>
      <c r="D47" s="38">
        <v>50000</v>
      </c>
      <c r="E47" s="38">
        <v>50000</v>
      </c>
      <c r="F47" s="27"/>
    </row>
    <row r="48" spans="1:6" x14ac:dyDescent="0.25">
      <c r="A48" s="26" t="s">
        <v>12</v>
      </c>
      <c r="B48" s="28" t="s">
        <v>54</v>
      </c>
      <c r="C48" s="31">
        <v>1</v>
      </c>
      <c r="D48" s="38">
        <v>85000</v>
      </c>
      <c r="E48" s="38">
        <v>85000</v>
      </c>
      <c r="F48" s="27"/>
    </row>
    <row r="49" spans="1:6" x14ac:dyDescent="0.25">
      <c r="A49" s="26" t="s">
        <v>19</v>
      </c>
      <c r="B49" s="28" t="s">
        <v>104</v>
      </c>
      <c r="C49" s="31">
        <v>1</v>
      </c>
      <c r="D49" s="38">
        <v>175000</v>
      </c>
      <c r="E49" s="38">
        <v>180000</v>
      </c>
      <c r="F49" s="27"/>
    </row>
    <row r="50" spans="1:6" x14ac:dyDescent="0.25">
      <c r="A50" s="27" t="s">
        <v>10</v>
      </c>
      <c r="B50" s="27" t="s">
        <v>57</v>
      </c>
      <c r="C50" s="31">
        <v>1</v>
      </c>
      <c r="D50" s="38">
        <v>7500</v>
      </c>
      <c r="E50" s="38">
        <v>8500</v>
      </c>
      <c r="F50" s="27"/>
    </row>
    <row r="51" spans="1:6" x14ac:dyDescent="0.25">
      <c r="A51" s="26" t="s">
        <v>30</v>
      </c>
      <c r="B51" s="28" t="s">
        <v>55</v>
      </c>
      <c r="C51" s="31">
        <v>1</v>
      </c>
      <c r="D51" s="38">
        <v>15000</v>
      </c>
      <c r="E51" s="38">
        <v>15000</v>
      </c>
      <c r="F51" s="27"/>
    </row>
    <row r="52" spans="1:6" x14ac:dyDescent="0.25">
      <c r="A52" s="26" t="s">
        <v>34</v>
      </c>
      <c r="B52" s="28" t="s">
        <v>35</v>
      </c>
      <c r="C52" s="31">
        <v>1</v>
      </c>
      <c r="D52" s="38">
        <v>35000</v>
      </c>
      <c r="E52" s="38">
        <v>35000</v>
      </c>
      <c r="F52" s="27"/>
    </row>
    <row r="53" spans="1:6" ht="30" x14ac:dyDescent="0.25">
      <c r="A53" s="26" t="s">
        <v>56</v>
      </c>
      <c r="B53" s="28" t="s">
        <v>46</v>
      </c>
      <c r="C53" s="31">
        <v>1</v>
      </c>
      <c r="D53" s="38">
        <v>800</v>
      </c>
      <c r="E53" s="38">
        <v>1000</v>
      </c>
      <c r="F53" s="27"/>
    </row>
    <row r="54" spans="1:6" x14ac:dyDescent="0.25">
      <c r="A54" s="26" t="s">
        <v>13</v>
      </c>
      <c r="B54" s="50" t="s">
        <v>97</v>
      </c>
      <c r="C54" s="31">
        <v>1</v>
      </c>
      <c r="D54" s="38">
        <v>45000</v>
      </c>
      <c r="E54" s="38">
        <v>45000</v>
      </c>
      <c r="F54" s="27" t="s">
        <v>66</v>
      </c>
    </row>
    <row r="55" spans="1:6" x14ac:dyDescent="0.25">
      <c r="A55" s="45"/>
      <c r="B55" s="46"/>
      <c r="C55" s="47" t="s">
        <v>17</v>
      </c>
      <c r="D55" s="48"/>
      <c r="E55" s="49">
        <f>SUM(E43:E54)</f>
        <v>1074500</v>
      </c>
      <c r="F55" s="27">
        <f>E55*11</f>
        <v>11819500</v>
      </c>
    </row>
    <row r="56" spans="1:6" x14ac:dyDescent="0.25">
      <c r="A56" s="26"/>
      <c r="B56" s="46"/>
      <c r="C56" s="47"/>
      <c r="D56" s="48"/>
      <c r="E56" s="42">
        <f>E55*20%</f>
        <v>214900</v>
      </c>
      <c r="F56" s="42">
        <f>F55*20%</f>
        <v>2363900</v>
      </c>
    </row>
    <row r="57" spans="1:6" x14ac:dyDescent="0.25">
      <c r="A57" s="26"/>
      <c r="B57" s="26"/>
      <c r="C57" s="40" t="s">
        <v>21</v>
      </c>
      <c r="D57" s="42"/>
      <c r="E57" s="42">
        <f>SUM(E55:E56)</f>
        <v>1289400</v>
      </c>
      <c r="F57" s="42">
        <f>SUM(F55:F56)</f>
        <v>14183400</v>
      </c>
    </row>
    <row r="58" spans="1:6" x14ac:dyDescent="0.25">
      <c r="A58" s="26"/>
      <c r="B58" s="26"/>
      <c r="C58" s="33" t="s">
        <v>14</v>
      </c>
      <c r="D58" s="43"/>
      <c r="E58" s="44">
        <f>E57*18%</f>
        <v>232092</v>
      </c>
      <c r="F58" s="44">
        <f>F57*18%</f>
        <v>2553012</v>
      </c>
    </row>
    <row r="59" spans="1:6" x14ac:dyDescent="0.25">
      <c r="A59" s="26"/>
      <c r="B59" s="26"/>
      <c r="C59" s="33" t="s">
        <v>15</v>
      </c>
      <c r="D59" s="43"/>
      <c r="E59" s="44">
        <f>SUM(E57:E58)</f>
        <v>1521492</v>
      </c>
      <c r="F59" s="44">
        <f>SUM(F57:F58)</f>
        <v>16736412</v>
      </c>
    </row>
    <row r="62" spans="1:6" x14ac:dyDescent="0.25">
      <c r="B62" s="32" t="s">
        <v>59</v>
      </c>
    </row>
    <row r="63" spans="1:6" x14ac:dyDescent="0.25">
      <c r="A63" s="33" t="s">
        <v>3</v>
      </c>
      <c r="B63" s="33" t="s">
        <v>4</v>
      </c>
      <c r="C63" s="33" t="s">
        <v>5</v>
      </c>
      <c r="D63" s="33" t="s">
        <v>16</v>
      </c>
      <c r="E63" s="33" t="s">
        <v>6</v>
      </c>
      <c r="F63" s="33" t="s">
        <v>18</v>
      </c>
    </row>
    <row r="64" spans="1:6" ht="15.75" x14ac:dyDescent="0.25">
      <c r="A64" s="8" t="s">
        <v>7</v>
      </c>
      <c r="B64" s="9" t="s">
        <v>60</v>
      </c>
      <c r="C64" s="10">
        <v>1</v>
      </c>
      <c r="D64" s="11">
        <v>4500</v>
      </c>
      <c r="E64" s="12">
        <v>4500</v>
      </c>
      <c r="F64" s="13"/>
    </row>
    <row r="65" spans="1:6" ht="15.75" x14ac:dyDescent="0.25">
      <c r="A65" s="8" t="s">
        <v>8</v>
      </c>
      <c r="B65" s="14" t="s">
        <v>100</v>
      </c>
      <c r="C65" s="10">
        <v>1</v>
      </c>
      <c r="D65" s="11">
        <v>9900</v>
      </c>
      <c r="E65" s="12">
        <v>10000</v>
      </c>
      <c r="F65" s="13"/>
    </row>
    <row r="66" spans="1:6" ht="15.75" x14ac:dyDescent="0.25">
      <c r="A66" s="8" t="s">
        <v>9</v>
      </c>
      <c r="B66" s="15" t="s">
        <v>61</v>
      </c>
      <c r="C66" s="10">
        <v>1</v>
      </c>
      <c r="D66" s="11">
        <v>40000</v>
      </c>
      <c r="E66" s="16">
        <v>40000</v>
      </c>
      <c r="F66" s="13"/>
    </row>
    <row r="67" spans="1:6" ht="15.75" x14ac:dyDescent="0.25">
      <c r="A67" s="8" t="s">
        <v>10</v>
      </c>
      <c r="B67" s="17" t="s">
        <v>40</v>
      </c>
      <c r="C67" s="10">
        <v>1</v>
      </c>
      <c r="D67" s="11">
        <v>9500</v>
      </c>
      <c r="E67" s="16">
        <v>9500</v>
      </c>
      <c r="F67" s="13"/>
    </row>
    <row r="68" spans="1:6" ht="15.75" x14ac:dyDescent="0.25">
      <c r="A68" s="8" t="s">
        <v>11</v>
      </c>
      <c r="B68" s="18" t="s">
        <v>102</v>
      </c>
      <c r="C68" s="10">
        <v>2</v>
      </c>
      <c r="D68" s="11">
        <v>22000</v>
      </c>
      <c r="E68" s="16">
        <v>45000</v>
      </c>
      <c r="F68" s="13"/>
    </row>
    <row r="69" spans="1:6" ht="15.75" x14ac:dyDescent="0.25">
      <c r="A69" s="8" t="s">
        <v>12</v>
      </c>
      <c r="B69" s="15" t="s">
        <v>62</v>
      </c>
      <c r="C69" s="10">
        <v>1</v>
      </c>
      <c r="D69" s="11">
        <v>9500</v>
      </c>
      <c r="E69" s="16">
        <v>9500</v>
      </c>
      <c r="F69" s="13"/>
    </row>
    <row r="70" spans="1:6" ht="15.75" x14ac:dyDescent="0.25">
      <c r="A70" s="8" t="s">
        <v>13</v>
      </c>
      <c r="B70" s="15" t="s">
        <v>63</v>
      </c>
      <c r="C70" s="10">
        <v>1</v>
      </c>
      <c r="D70" s="11">
        <v>4500</v>
      </c>
      <c r="E70" s="19">
        <v>4500</v>
      </c>
      <c r="F70" s="13"/>
    </row>
    <row r="71" spans="1:6" ht="15.75" x14ac:dyDescent="0.25">
      <c r="A71" s="8" t="s">
        <v>34</v>
      </c>
      <c r="B71" s="13" t="s">
        <v>64</v>
      </c>
      <c r="C71" s="10">
        <v>1</v>
      </c>
      <c r="D71" s="34">
        <v>7000</v>
      </c>
      <c r="E71" s="35">
        <v>7000</v>
      </c>
      <c r="F71" s="13"/>
    </row>
    <row r="72" spans="1:6" ht="17.25" customHeight="1" x14ac:dyDescent="0.25">
      <c r="A72" s="8" t="s">
        <v>45</v>
      </c>
      <c r="B72" s="18" t="s">
        <v>65</v>
      </c>
      <c r="C72" s="10">
        <v>1</v>
      </c>
      <c r="D72" s="11">
        <v>800</v>
      </c>
      <c r="E72" s="19">
        <v>800</v>
      </c>
      <c r="F72" s="13" t="s">
        <v>101</v>
      </c>
    </row>
    <row r="73" spans="1:6" ht="15.75" x14ac:dyDescent="0.25">
      <c r="A73" s="8"/>
      <c r="B73" s="20"/>
      <c r="C73" s="21" t="s">
        <v>17</v>
      </c>
      <c r="D73" s="22"/>
      <c r="E73" s="7">
        <f>SUM(E64:E72)</f>
        <v>130800</v>
      </c>
      <c r="F73" s="13">
        <f>E73*17</f>
        <v>2223600</v>
      </c>
    </row>
    <row r="74" spans="1:6" ht="15.75" x14ac:dyDescent="0.25">
      <c r="A74" s="8"/>
      <c r="B74" s="20"/>
      <c r="C74" s="21"/>
      <c r="D74" s="22"/>
      <c r="E74" s="51">
        <f>E73*20%</f>
        <v>26160</v>
      </c>
      <c r="F74" s="51">
        <f>F73*20%</f>
        <v>444720</v>
      </c>
    </row>
    <row r="75" spans="1:6" ht="15.75" x14ac:dyDescent="0.25">
      <c r="A75" s="8"/>
      <c r="B75" s="8"/>
      <c r="C75" s="21" t="s">
        <v>21</v>
      </c>
      <c r="D75" s="23"/>
      <c r="E75" s="7">
        <f>SUM(E73:E74)</f>
        <v>156960</v>
      </c>
      <c r="F75" s="7">
        <f>SUM(F73:F74)</f>
        <v>2668320</v>
      </c>
    </row>
    <row r="76" spans="1:6" ht="15.75" x14ac:dyDescent="0.25">
      <c r="A76" s="8"/>
      <c r="B76" s="8"/>
      <c r="C76" s="24" t="s">
        <v>14</v>
      </c>
      <c r="D76" s="25"/>
      <c r="E76" s="6">
        <f>E75*18%</f>
        <v>28252.799999999999</v>
      </c>
      <c r="F76" s="6">
        <f>F75*18%</f>
        <v>480297.6</v>
      </c>
    </row>
    <row r="77" spans="1:6" ht="15.75" x14ac:dyDescent="0.25">
      <c r="A77" s="8"/>
      <c r="B77" s="8"/>
      <c r="C77" s="24" t="s">
        <v>15</v>
      </c>
      <c r="D77" s="25"/>
      <c r="E77" s="6">
        <f>SUM(E75:E76)</f>
        <v>185212.79999999999</v>
      </c>
      <c r="F77" s="6">
        <f>SUM(F75:F76)</f>
        <v>3148617.6</v>
      </c>
    </row>
    <row r="80" spans="1:6" x14ac:dyDescent="0.25">
      <c r="B80" s="32" t="s">
        <v>68</v>
      </c>
    </row>
    <row r="81" spans="1:6" x14ac:dyDescent="0.25">
      <c r="A81" s="33" t="s">
        <v>3</v>
      </c>
      <c r="B81" s="33" t="s">
        <v>4</v>
      </c>
      <c r="C81" s="33" t="s">
        <v>5</v>
      </c>
      <c r="D81" s="33" t="s">
        <v>16</v>
      </c>
      <c r="E81" s="33" t="s">
        <v>6</v>
      </c>
      <c r="F81" s="33" t="s">
        <v>18</v>
      </c>
    </row>
    <row r="82" spans="1:6" ht="15.75" x14ac:dyDescent="0.25">
      <c r="A82" s="8" t="s">
        <v>7</v>
      </c>
      <c r="B82" s="9" t="s">
        <v>78</v>
      </c>
      <c r="C82" s="10">
        <v>1</v>
      </c>
      <c r="D82" s="11">
        <v>95000</v>
      </c>
      <c r="E82" s="12">
        <v>95000</v>
      </c>
      <c r="F82" s="13"/>
    </row>
    <row r="83" spans="1:6" ht="15.75" x14ac:dyDescent="0.25">
      <c r="A83" s="8" t="s">
        <v>8</v>
      </c>
      <c r="B83" s="27" t="s">
        <v>69</v>
      </c>
      <c r="C83" s="37">
        <v>1</v>
      </c>
      <c r="D83" s="38">
        <v>63000</v>
      </c>
      <c r="E83" s="38">
        <v>63000</v>
      </c>
      <c r="F83" s="13"/>
    </row>
    <row r="84" spans="1:6" ht="30" x14ac:dyDescent="0.25">
      <c r="A84" s="8" t="s">
        <v>9</v>
      </c>
      <c r="B84" s="29" t="s">
        <v>70</v>
      </c>
      <c r="C84" s="37">
        <v>2</v>
      </c>
      <c r="D84" s="38">
        <v>18000</v>
      </c>
      <c r="E84" s="38">
        <v>36000</v>
      </c>
      <c r="F84" s="13"/>
    </row>
    <row r="85" spans="1:6" ht="15.75" x14ac:dyDescent="0.25">
      <c r="A85" s="8" t="s">
        <v>10</v>
      </c>
      <c r="B85" s="17" t="s">
        <v>79</v>
      </c>
      <c r="C85" s="10">
        <v>1</v>
      </c>
      <c r="D85" s="11">
        <v>7500</v>
      </c>
      <c r="E85" s="16">
        <v>7500</v>
      </c>
      <c r="F85" s="13"/>
    </row>
    <row r="86" spans="1:6" ht="15.75" x14ac:dyDescent="0.25">
      <c r="A86" s="8" t="s">
        <v>11</v>
      </c>
      <c r="B86" s="18" t="s">
        <v>107</v>
      </c>
      <c r="C86" s="10">
        <v>2</v>
      </c>
      <c r="D86" s="11">
        <v>15500</v>
      </c>
      <c r="E86" s="16">
        <v>50000</v>
      </c>
      <c r="F86" s="13"/>
    </row>
    <row r="87" spans="1:6" ht="15.75" x14ac:dyDescent="0.25">
      <c r="A87" s="8" t="s">
        <v>12</v>
      </c>
      <c r="B87" s="15" t="s">
        <v>71</v>
      </c>
      <c r="C87" s="10">
        <v>2</v>
      </c>
      <c r="D87" s="11">
        <v>33000</v>
      </c>
      <c r="E87" s="16">
        <v>66000</v>
      </c>
      <c r="F87" s="13"/>
    </row>
    <row r="88" spans="1:6" ht="15.75" x14ac:dyDescent="0.25">
      <c r="A88" s="8" t="s">
        <v>20</v>
      </c>
      <c r="B88" s="15" t="s">
        <v>72</v>
      </c>
      <c r="C88" s="10">
        <v>2</v>
      </c>
      <c r="D88" s="11">
        <v>70000</v>
      </c>
      <c r="E88" s="19">
        <f>D88*2</f>
        <v>140000</v>
      </c>
      <c r="F88" s="13"/>
    </row>
    <row r="89" spans="1:6" ht="15.75" x14ac:dyDescent="0.25">
      <c r="A89" s="8"/>
      <c r="B89" s="15" t="s">
        <v>73</v>
      </c>
      <c r="C89" s="10">
        <v>1</v>
      </c>
      <c r="D89" s="11">
        <v>80000</v>
      </c>
      <c r="E89" s="19">
        <v>80000</v>
      </c>
      <c r="F89" s="13"/>
    </row>
    <row r="90" spans="1:6" ht="15.75" x14ac:dyDescent="0.25">
      <c r="A90" s="8" t="s">
        <v>30</v>
      </c>
      <c r="B90" s="13" t="s">
        <v>74</v>
      </c>
      <c r="C90" s="10">
        <v>1</v>
      </c>
      <c r="D90" s="34">
        <v>35000</v>
      </c>
      <c r="E90" s="35">
        <v>35000</v>
      </c>
      <c r="F90" s="13"/>
    </row>
    <row r="91" spans="1:6" ht="15.75" x14ac:dyDescent="0.25">
      <c r="A91" s="8" t="s">
        <v>75</v>
      </c>
      <c r="B91" s="13" t="s">
        <v>76</v>
      </c>
      <c r="C91" s="10">
        <v>1</v>
      </c>
      <c r="D91" s="34">
        <v>0</v>
      </c>
      <c r="E91" s="35">
        <v>0</v>
      </c>
      <c r="F91" s="13"/>
    </row>
    <row r="92" spans="1:6" ht="15.75" x14ac:dyDescent="0.25">
      <c r="A92" s="8" t="s">
        <v>30</v>
      </c>
      <c r="B92" s="18" t="s">
        <v>77</v>
      </c>
      <c r="C92" s="10">
        <v>1</v>
      </c>
      <c r="D92" s="11">
        <v>36000</v>
      </c>
      <c r="E92" s="19">
        <v>36000</v>
      </c>
      <c r="F92" s="13"/>
    </row>
    <row r="93" spans="1:6" ht="15.75" x14ac:dyDescent="0.25">
      <c r="A93" s="8"/>
      <c r="B93" s="20"/>
      <c r="C93" s="21" t="s">
        <v>17</v>
      </c>
      <c r="D93" s="22"/>
      <c r="E93" s="7">
        <f>SUM(E82:E92)</f>
        <v>608500</v>
      </c>
      <c r="F93" s="13">
        <f>E93*3</f>
        <v>1825500</v>
      </c>
    </row>
    <row r="94" spans="1:6" ht="15.75" x14ac:dyDescent="0.25">
      <c r="A94" s="8"/>
      <c r="B94" s="20"/>
      <c r="C94" s="21"/>
      <c r="D94" s="22"/>
      <c r="E94" s="7">
        <f>E93*20%</f>
        <v>121700</v>
      </c>
      <c r="F94" s="7">
        <f>F93*20%</f>
        <v>365100</v>
      </c>
    </row>
    <row r="95" spans="1:6" ht="15.75" x14ac:dyDescent="0.25">
      <c r="A95" s="8"/>
      <c r="B95" s="8"/>
      <c r="C95" s="21" t="s">
        <v>21</v>
      </c>
      <c r="D95" s="23"/>
      <c r="E95" s="7">
        <f>SUM(E93:E94)</f>
        <v>730200</v>
      </c>
      <c r="F95" s="7">
        <f>SUM(F93:F94)</f>
        <v>2190600</v>
      </c>
    </row>
    <row r="96" spans="1:6" ht="15.75" x14ac:dyDescent="0.25">
      <c r="A96" s="8"/>
      <c r="B96" s="8"/>
      <c r="C96" s="24" t="s">
        <v>14</v>
      </c>
      <c r="D96" s="25"/>
      <c r="E96" s="6">
        <f>E95*18%</f>
        <v>131436</v>
      </c>
      <c r="F96" s="6">
        <f>F95*18%</f>
        <v>394308</v>
      </c>
    </row>
    <row r="97" spans="1:6" ht="15.75" x14ac:dyDescent="0.25">
      <c r="A97" s="8"/>
      <c r="B97" s="8"/>
      <c r="C97" s="24" t="s">
        <v>15</v>
      </c>
      <c r="D97" s="25"/>
      <c r="E97" s="6">
        <f>SUM(E95:E96)</f>
        <v>861636</v>
      </c>
      <c r="F97" s="6">
        <f>SUM(F95:F96)</f>
        <v>2584908</v>
      </c>
    </row>
    <row r="100" spans="1:6" x14ac:dyDescent="0.25">
      <c r="B100" s="32" t="s">
        <v>80</v>
      </c>
    </row>
    <row r="101" spans="1:6" x14ac:dyDescent="0.25">
      <c r="A101" s="33" t="s">
        <v>3</v>
      </c>
      <c r="B101" s="33" t="s">
        <v>4</v>
      </c>
      <c r="C101" s="33" t="s">
        <v>5</v>
      </c>
      <c r="D101" s="33" t="s">
        <v>16</v>
      </c>
      <c r="E101" s="33" t="s">
        <v>6</v>
      </c>
      <c r="F101" s="33" t="s">
        <v>18</v>
      </c>
    </row>
    <row r="102" spans="1:6" ht="15.75" x14ac:dyDescent="0.25">
      <c r="A102" s="8" t="s">
        <v>7</v>
      </c>
      <c r="B102" s="9" t="s">
        <v>81</v>
      </c>
      <c r="C102" s="10">
        <v>1</v>
      </c>
      <c r="D102" s="11">
        <v>144000</v>
      </c>
      <c r="E102" s="12">
        <v>150000</v>
      </c>
      <c r="F102" s="13"/>
    </row>
    <row r="103" spans="1:6" ht="15.75" x14ac:dyDescent="0.25">
      <c r="A103" s="8" t="s">
        <v>8</v>
      </c>
      <c r="B103" s="27" t="s">
        <v>69</v>
      </c>
      <c r="C103" s="37">
        <v>1</v>
      </c>
      <c r="D103" s="38">
        <v>63000</v>
      </c>
      <c r="E103" s="38">
        <v>63000</v>
      </c>
      <c r="F103" s="13"/>
    </row>
    <row r="104" spans="1:6" ht="30" x14ac:dyDescent="0.25">
      <c r="A104" s="8" t="s">
        <v>9</v>
      </c>
      <c r="B104" s="29" t="s">
        <v>70</v>
      </c>
      <c r="C104" s="37">
        <v>2</v>
      </c>
      <c r="D104" s="38">
        <v>18000</v>
      </c>
      <c r="E104" s="38">
        <v>36000</v>
      </c>
      <c r="F104" s="13"/>
    </row>
    <row r="105" spans="1:6" ht="15.75" x14ac:dyDescent="0.25">
      <c r="A105" s="8" t="s">
        <v>10</v>
      </c>
      <c r="B105" s="17" t="s">
        <v>83</v>
      </c>
      <c r="C105" s="10">
        <v>0</v>
      </c>
      <c r="D105" s="11">
        <v>7500</v>
      </c>
      <c r="E105" s="16">
        <v>7500</v>
      </c>
      <c r="F105" s="13"/>
    </row>
    <row r="106" spans="1:6" ht="15.75" x14ac:dyDescent="0.25">
      <c r="A106" s="8" t="s">
        <v>11</v>
      </c>
      <c r="B106" s="18" t="s">
        <v>105</v>
      </c>
      <c r="C106" s="10">
        <v>4</v>
      </c>
      <c r="D106" s="11">
        <v>15500</v>
      </c>
      <c r="E106" s="16">
        <v>100000</v>
      </c>
      <c r="F106" s="13"/>
    </row>
    <row r="107" spans="1:6" ht="15.75" x14ac:dyDescent="0.25">
      <c r="A107" s="8" t="s">
        <v>12</v>
      </c>
      <c r="B107" s="15" t="s">
        <v>71</v>
      </c>
      <c r="C107" s="10">
        <v>2</v>
      </c>
      <c r="D107" s="11">
        <v>33000</v>
      </c>
      <c r="E107" s="16">
        <v>66000</v>
      </c>
      <c r="F107" s="13"/>
    </row>
    <row r="108" spans="1:6" ht="15.75" x14ac:dyDescent="0.25">
      <c r="A108" s="8" t="s">
        <v>20</v>
      </c>
      <c r="B108" s="15" t="s">
        <v>82</v>
      </c>
      <c r="C108" s="10">
        <v>16</v>
      </c>
      <c r="D108" s="11">
        <v>70000</v>
      </c>
      <c r="E108" s="19">
        <f>D108*16</f>
        <v>1120000</v>
      </c>
      <c r="F108" s="13"/>
    </row>
    <row r="109" spans="1:6" ht="15.75" x14ac:dyDescent="0.25">
      <c r="A109" s="8"/>
      <c r="B109" s="15" t="s">
        <v>73</v>
      </c>
      <c r="C109" s="10">
        <v>1</v>
      </c>
      <c r="D109" s="11">
        <v>80000</v>
      </c>
      <c r="E109" s="19">
        <v>80000</v>
      </c>
      <c r="F109" s="13"/>
    </row>
    <row r="110" spans="1:6" ht="15.75" x14ac:dyDescent="0.25">
      <c r="A110" s="8" t="s">
        <v>30</v>
      </c>
      <c r="B110" s="13" t="s">
        <v>74</v>
      </c>
      <c r="C110" s="10">
        <v>1</v>
      </c>
      <c r="D110" s="34">
        <v>35000</v>
      </c>
      <c r="E110" s="35">
        <v>35000</v>
      </c>
      <c r="F110" s="13"/>
    </row>
    <row r="111" spans="1:6" ht="15.75" x14ac:dyDescent="0.25">
      <c r="A111" s="8" t="s">
        <v>75</v>
      </c>
      <c r="B111" s="13" t="s">
        <v>76</v>
      </c>
      <c r="C111" s="10">
        <v>1</v>
      </c>
      <c r="D111" s="34">
        <v>0</v>
      </c>
      <c r="E111" s="35">
        <v>0</v>
      </c>
      <c r="F111" s="13"/>
    </row>
    <row r="112" spans="1:6" ht="15.75" x14ac:dyDescent="0.25">
      <c r="A112" s="8"/>
      <c r="B112" s="13" t="s">
        <v>84</v>
      </c>
      <c r="C112" s="10">
        <v>1</v>
      </c>
      <c r="D112" s="34">
        <v>5000</v>
      </c>
      <c r="E112" s="35">
        <v>5000</v>
      </c>
      <c r="F112" s="13"/>
    </row>
    <row r="113" spans="1:6" ht="15.75" x14ac:dyDescent="0.25">
      <c r="A113" s="8" t="s">
        <v>30</v>
      </c>
      <c r="B113" s="18" t="s">
        <v>77</v>
      </c>
      <c r="C113" s="10">
        <v>1</v>
      </c>
      <c r="D113" s="11">
        <v>36000</v>
      </c>
      <c r="E113" s="19">
        <v>36000</v>
      </c>
      <c r="F113" s="13"/>
    </row>
    <row r="114" spans="1:6" ht="15.75" x14ac:dyDescent="0.25">
      <c r="A114" s="8"/>
      <c r="B114" s="20"/>
      <c r="C114" s="21" t="s">
        <v>17</v>
      </c>
      <c r="D114" s="22"/>
      <c r="E114" s="7">
        <f>SUM(E102:E113)</f>
        <v>1698500</v>
      </c>
      <c r="F114" s="13"/>
    </row>
    <row r="115" spans="1:6" ht="15.75" x14ac:dyDescent="0.25">
      <c r="A115" s="8"/>
      <c r="B115" s="20"/>
      <c r="C115" s="21"/>
      <c r="D115" s="22"/>
      <c r="E115" s="7">
        <f>E114*20%</f>
        <v>339700</v>
      </c>
      <c r="F115" s="7"/>
    </row>
    <row r="116" spans="1:6" ht="15.75" x14ac:dyDescent="0.25">
      <c r="A116" s="8"/>
      <c r="B116" s="8"/>
      <c r="C116" s="21" t="s">
        <v>21</v>
      </c>
      <c r="D116" s="23"/>
      <c r="E116" s="7">
        <f>SUM(E114:E115)</f>
        <v>2038200</v>
      </c>
      <c r="F116" s="7"/>
    </row>
    <row r="117" spans="1:6" ht="15.75" x14ac:dyDescent="0.25">
      <c r="A117" s="8"/>
      <c r="B117" s="8"/>
      <c r="C117" s="24" t="s">
        <v>14</v>
      </c>
      <c r="D117" s="25"/>
      <c r="E117" s="6">
        <f>E116*18%</f>
        <v>366876</v>
      </c>
      <c r="F117" s="6"/>
    </row>
    <row r="118" spans="1:6" ht="15.75" x14ac:dyDescent="0.25">
      <c r="A118" s="8"/>
      <c r="B118" s="8"/>
      <c r="C118" s="24" t="s">
        <v>15</v>
      </c>
      <c r="D118" s="25"/>
      <c r="E118" s="6">
        <f>SUM(E116:E117)</f>
        <v>2405076</v>
      </c>
      <c r="F118" s="6"/>
    </row>
    <row r="121" spans="1:6" x14ac:dyDescent="0.25">
      <c r="A121" s="4" t="s">
        <v>1</v>
      </c>
      <c r="B121" s="58" t="s">
        <v>85</v>
      </c>
      <c r="C121" s="36" t="s">
        <v>2</v>
      </c>
      <c r="D121" s="56"/>
      <c r="E121" s="57"/>
      <c r="F121" s="27"/>
    </row>
    <row r="122" spans="1:6" ht="30" x14ac:dyDescent="0.25">
      <c r="A122" s="33" t="s">
        <v>3</v>
      </c>
      <c r="B122" s="33" t="s">
        <v>4</v>
      </c>
      <c r="C122" s="33" t="s">
        <v>5</v>
      </c>
      <c r="D122" s="33" t="s">
        <v>16</v>
      </c>
      <c r="E122" s="33" t="s">
        <v>6</v>
      </c>
      <c r="F122" s="33" t="s">
        <v>48</v>
      </c>
    </row>
    <row r="123" spans="1:6" x14ac:dyDescent="0.25">
      <c r="A123" s="26" t="s">
        <v>7</v>
      </c>
      <c r="B123" s="27" t="s">
        <v>22</v>
      </c>
      <c r="C123" s="31">
        <v>1</v>
      </c>
      <c r="D123" s="38">
        <v>25000</v>
      </c>
      <c r="E123" s="38">
        <v>25000</v>
      </c>
      <c r="F123" s="27"/>
    </row>
    <row r="124" spans="1:6" x14ac:dyDescent="0.25">
      <c r="A124" s="26" t="s">
        <v>8</v>
      </c>
      <c r="B124" s="52" t="s">
        <v>86</v>
      </c>
      <c r="C124" s="31">
        <v>1</v>
      </c>
      <c r="D124" s="38">
        <v>58500</v>
      </c>
      <c r="E124" s="38">
        <v>58500</v>
      </c>
      <c r="F124" s="27"/>
    </row>
    <row r="125" spans="1:6" ht="45" x14ac:dyDescent="0.25">
      <c r="A125" s="26" t="s">
        <v>9</v>
      </c>
      <c r="B125" s="29" t="s">
        <v>87</v>
      </c>
      <c r="C125" s="31">
        <v>1</v>
      </c>
      <c r="D125" s="38">
        <v>35000</v>
      </c>
      <c r="E125" s="38">
        <v>35000</v>
      </c>
      <c r="F125" s="27"/>
    </row>
    <row r="126" spans="1:6" x14ac:dyDescent="0.25">
      <c r="A126" s="26" t="s">
        <v>11</v>
      </c>
      <c r="B126" s="30" t="s">
        <v>106</v>
      </c>
      <c r="C126" s="31">
        <v>2</v>
      </c>
      <c r="D126" s="38">
        <v>15500</v>
      </c>
      <c r="E126" s="38">
        <v>50000</v>
      </c>
      <c r="F126" s="27"/>
    </row>
    <row r="127" spans="1:6" x14ac:dyDescent="0.25">
      <c r="A127" s="26" t="s">
        <v>19</v>
      </c>
      <c r="B127" s="30" t="s">
        <v>103</v>
      </c>
      <c r="C127" s="31">
        <v>1</v>
      </c>
      <c r="D127" s="38">
        <v>175000</v>
      </c>
      <c r="E127" s="38">
        <v>175000</v>
      </c>
      <c r="F127" s="27"/>
    </row>
    <row r="128" spans="1:6" x14ac:dyDescent="0.25">
      <c r="A128" s="26" t="s">
        <v>20</v>
      </c>
      <c r="B128" s="28" t="s">
        <v>88</v>
      </c>
      <c r="C128" s="31">
        <v>2</v>
      </c>
      <c r="D128" s="38">
        <v>33800</v>
      </c>
      <c r="E128" s="38">
        <f>D128*2</f>
        <v>67600</v>
      </c>
      <c r="F128" s="27"/>
    </row>
    <row r="129" spans="1:6" x14ac:dyDescent="0.25">
      <c r="A129" s="26" t="s">
        <v>12</v>
      </c>
      <c r="B129" s="28" t="s">
        <v>89</v>
      </c>
      <c r="C129" s="31">
        <v>1</v>
      </c>
      <c r="D129" s="38">
        <v>5000</v>
      </c>
      <c r="E129" s="38">
        <v>5000</v>
      </c>
      <c r="F129" s="27"/>
    </row>
    <row r="130" spans="1:6" x14ac:dyDescent="0.25">
      <c r="A130" s="27" t="s">
        <v>10</v>
      </c>
      <c r="B130" s="27" t="s">
        <v>90</v>
      </c>
      <c r="C130" s="31">
        <v>1</v>
      </c>
      <c r="D130" s="38">
        <v>7500</v>
      </c>
      <c r="E130" s="38">
        <v>7500</v>
      </c>
      <c r="F130" s="27"/>
    </row>
    <row r="131" spans="1:6" x14ac:dyDescent="0.25">
      <c r="A131" s="45" t="s">
        <v>13</v>
      </c>
      <c r="B131" t="s">
        <v>91</v>
      </c>
      <c r="C131" s="31">
        <v>1</v>
      </c>
      <c r="D131" s="38">
        <v>13000</v>
      </c>
      <c r="E131" s="38">
        <v>13000</v>
      </c>
      <c r="F131" s="27"/>
    </row>
    <row r="132" spans="1:6" x14ac:dyDescent="0.25">
      <c r="A132" s="26"/>
      <c r="B132" s="39"/>
      <c r="C132" s="40" t="s">
        <v>17</v>
      </c>
      <c r="D132" s="41"/>
      <c r="E132" s="42">
        <f>SUM(E123:E131)</f>
        <v>436600</v>
      </c>
      <c r="F132" s="27"/>
    </row>
    <row r="133" spans="1:6" ht="15.75" x14ac:dyDescent="0.25">
      <c r="A133" s="26"/>
      <c r="B133" s="39"/>
      <c r="C133" s="40"/>
      <c r="D133" s="41"/>
      <c r="E133" s="7">
        <f>E132*20%</f>
        <v>87320</v>
      </c>
      <c r="F133" s="27"/>
    </row>
    <row r="134" spans="1:6" ht="15.75" x14ac:dyDescent="0.25">
      <c r="A134" s="26"/>
      <c r="B134" s="26"/>
      <c r="C134" s="40" t="s">
        <v>21</v>
      </c>
      <c r="D134" s="42"/>
      <c r="E134" s="7">
        <f>SUM(E132:E133)</f>
        <v>523920</v>
      </c>
      <c r="F134" s="53"/>
    </row>
    <row r="135" spans="1:6" ht="15.75" x14ac:dyDescent="0.25">
      <c r="A135" s="26"/>
      <c r="B135" s="26"/>
      <c r="C135" s="33" t="s">
        <v>14</v>
      </c>
      <c r="D135" s="43"/>
      <c r="E135" s="6">
        <f>E134*18%</f>
        <v>94305.599999999991</v>
      </c>
      <c r="F135" s="53"/>
    </row>
    <row r="136" spans="1:6" ht="15.75" x14ac:dyDescent="0.25">
      <c r="A136" s="26"/>
      <c r="B136" s="26"/>
      <c r="C136" s="33" t="s">
        <v>15</v>
      </c>
      <c r="D136" s="43"/>
      <c r="E136" s="6">
        <f>SUM(E134:E135)</f>
        <v>618225.6</v>
      </c>
      <c r="F136" s="53"/>
    </row>
    <row r="139" spans="1:6" x14ac:dyDescent="0.25">
      <c r="A139" s="61" t="s">
        <v>3</v>
      </c>
      <c r="B139" s="61" t="s">
        <v>4</v>
      </c>
      <c r="C139" s="61" t="s">
        <v>5</v>
      </c>
      <c r="D139" s="61" t="s">
        <v>16</v>
      </c>
      <c r="E139" s="61" t="s">
        <v>6</v>
      </c>
      <c r="F139" s="61" t="s">
        <v>18</v>
      </c>
    </row>
    <row r="140" spans="1:6" ht="15.75" x14ac:dyDescent="0.25">
      <c r="A140" s="8" t="s">
        <v>7</v>
      </c>
      <c r="B140" s="9" t="s">
        <v>108</v>
      </c>
      <c r="C140" s="10">
        <v>1</v>
      </c>
      <c r="D140" s="11">
        <v>4500</v>
      </c>
      <c r="E140" s="12">
        <v>5000</v>
      </c>
      <c r="F140" s="13" t="s">
        <v>109</v>
      </c>
    </row>
    <row r="141" spans="1:6" ht="31.5" x14ac:dyDescent="0.25">
      <c r="A141" s="8" t="s">
        <v>8</v>
      </c>
      <c r="B141" s="14" t="s">
        <v>110</v>
      </c>
      <c r="C141" s="10">
        <v>1</v>
      </c>
      <c r="D141" s="11">
        <v>9800</v>
      </c>
      <c r="E141" s="12">
        <v>10000</v>
      </c>
      <c r="F141" s="13" t="s">
        <v>109</v>
      </c>
    </row>
    <row r="142" spans="1:6" ht="15.75" x14ac:dyDescent="0.25">
      <c r="A142" s="8" t="s">
        <v>9</v>
      </c>
      <c r="B142" s="15" t="s">
        <v>111</v>
      </c>
      <c r="C142" s="10">
        <v>1</v>
      </c>
      <c r="D142" s="11">
        <v>15500</v>
      </c>
      <c r="E142" s="16">
        <v>16500</v>
      </c>
      <c r="F142" s="13" t="s">
        <v>109</v>
      </c>
    </row>
    <row r="143" spans="1:6" ht="15.75" x14ac:dyDescent="0.25">
      <c r="A143" s="8" t="s">
        <v>10</v>
      </c>
      <c r="B143" s="17" t="s">
        <v>92</v>
      </c>
      <c r="C143" s="10">
        <v>1</v>
      </c>
      <c r="D143" s="11">
        <v>3500</v>
      </c>
      <c r="E143" s="16">
        <v>3500</v>
      </c>
      <c r="F143" s="13" t="s">
        <v>109</v>
      </c>
    </row>
    <row r="144" spans="1:6" ht="15.75" x14ac:dyDescent="0.25">
      <c r="A144" s="8" t="s">
        <v>11</v>
      </c>
      <c r="B144" s="18" t="s">
        <v>112</v>
      </c>
      <c r="C144" s="10">
        <v>1</v>
      </c>
      <c r="D144" s="11">
        <v>11500</v>
      </c>
      <c r="E144" s="16">
        <v>11500</v>
      </c>
      <c r="F144" s="13" t="s">
        <v>109</v>
      </c>
    </row>
    <row r="145" spans="1:6" ht="15.75" x14ac:dyDescent="0.25">
      <c r="A145" s="8" t="s">
        <v>12</v>
      </c>
      <c r="B145" s="15" t="s">
        <v>120</v>
      </c>
      <c r="C145" s="10">
        <v>1</v>
      </c>
      <c r="D145" s="11">
        <v>5200</v>
      </c>
      <c r="E145" s="16">
        <v>5200</v>
      </c>
      <c r="F145" s="13" t="s">
        <v>109</v>
      </c>
    </row>
    <row r="146" spans="1:6" ht="15.75" x14ac:dyDescent="0.25">
      <c r="A146" s="8"/>
      <c r="B146" s="15" t="s">
        <v>119</v>
      </c>
      <c r="C146" s="10">
        <v>1</v>
      </c>
      <c r="D146" s="11">
        <v>5000</v>
      </c>
      <c r="E146" s="16">
        <v>5000</v>
      </c>
      <c r="F146" s="13" t="s">
        <v>109</v>
      </c>
    </row>
    <row r="147" spans="1:6" ht="15.75" x14ac:dyDescent="0.25">
      <c r="A147" s="8" t="s">
        <v>13</v>
      </c>
      <c r="B147" s="15" t="s">
        <v>113</v>
      </c>
      <c r="C147" s="10">
        <v>1</v>
      </c>
      <c r="D147" s="11">
        <v>4000</v>
      </c>
      <c r="E147" s="19">
        <v>4000</v>
      </c>
      <c r="F147" s="13" t="s">
        <v>109</v>
      </c>
    </row>
    <row r="148" spans="1:6" ht="15.75" x14ac:dyDescent="0.25">
      <c r="A148" s="8" t="s">
        <v>34</v>
      </c>
      <c r="B148" s="13" t="s">
        <v>114</v>
      </c>
      <c r="C148" s="10">
        <v>1</v>
      </c>
      <c r="D148" s="34">
        <v>6800</v>
      </c>
      <c r="E148" s="35">
        <v>7000</v>
      </c>
      <c r="F148" s="13" t="s">
        <v>109</v>
      </c>
    </row>
    <row r="149" spans="1:6" ht="31.5" x14ac:dyDescent="0.25">
      <c r="A149" s="8" t="s">
        <v>45</v>
      </c>
      <c r="B149" s="18" t="s">
        <v>115</v>
      </c>
      <c r="C149" s="10">
        <v>1</v>
      </c>
      <c r="D149" s="11">
        <v>8500</v>
      </c>
      <c r="E149" s="19">
        <v>8500</v>
      </c>
      <c r="F149" s="13" t="s">
        <v>109</v>
      </c>
    </row>
    <row r="150" spans="1:6" ht="15.75" x14ac:dyDescent="0.25">
      <c r="A150" s="8"/>
      <c r="B150" s="18" t="s">
        <v>116</v>
      </c>
      <c r="C150" s="10">
        <v>1</v>
      </c>
      <c r="D150" s="11">
        <v>610</v>
      </c>
      <c r="E150" s="19">
        <v>700</v>
      </c>
      <c r="F150" s="13" t="s">
        <v>109</v>
      </c>
    </row>
    <row r="151" spans="1:6" ht="15.75" x14ac:dyDescent="0.25">
      <c r="A151" s="8"/>
      <c r="B151" s="18" t="s">
        <v>117</v>
      </c>
      <c r="C151" s="10">
        <v>1</v>
      </c>
      <c r="D151" s="11">
        <v>11800</v>
      </c>
      <c r="E151" s="19">
        <v>11800</v>
      </c>
      <c r="F151" s="13" t="s">
        <v>109</v>
      </c>
    </row>
    <row r="152" spans="1:6" ht="15.75" x14ac:dyDescent="0.25">
      <c r="A152" s="8"/>
      <c r="B152" s="20"/>
      <c r="C152" s="21" t="s">
        <v>17</v>
      </c>
      <c r="D152" s="22"/>
      <c r="E152" s="7">
        <f>SUM(E140:E151)</f>
        <v>88700</v>
      </c>
      <c r="F152" s="7"/>
    </row>
    <row r="153" spans="1:6" ht="15.75" x14ac:dyDescent="0.25">
      <c r="A153" s="8"/>
      <c r="B153" s="20"/>
      <c r="C153" s="62">
        <v>0.15</v>
      </c>
      <c r="D153" s="22"/>
      <c r="E153" s="63">
        <f>E152*20%</f>
        <v>17740</v>
      </c>
      <c r="F153" s="7"/>
    </row>
    <row r="154" spans="1:6" ht="15.75" x14ac:dyDescent="0.25">
      <c r="A154" s="8"/>
      <c r="B154" s="8"/>
      <c r="C154" s="21" t="s">
        <v>118</v>
      </c>
      <c r="D154" s="23"/>
      <c r="E154" s="7">
        <f>SUM(E152:E153)</f>
        <v>106440</v>
      </c>
      <c r="F154" s="7"/>
    </row>
    <row r="155" spans="1:6" ht="15.75" x14ac:dyDescent="0.25">
      <c r="A155" s="8"/>
      <c r="B155" s="8"/>
      <c r="C155" s="24" t="s">
        <v>14</v>
      </c>
      <c r="D155" s="25"/>
      <c r="E155" s="6">
        <f>E154*18%</f>
        <v>19159.2</v>
      </c>
      <c r="F155" s="7"/>
    </row>
    <row r="156" spans="1:6" ht="15.75" x14ac:dyDescent="0.25">
      <c r="A156" s="8"/>
      <c r="B156" s="8"/>
      <c r="C156" s="24" t="s">
        <v>15</v>
      </c>
      <c r="D156" s="25"/>
      <c r="E156" s="6">
        <f>SUM(E154:E155)</f>
        <v>125599.2</v>
      </c>
      <c r="F156" s="7"/>
    </row>
  </sheetData>
  <mergeCells count="4">
    <mergeCell ref="D2:E2"/>
    <mergeCell ref="D20:E20"/>
    <mergeCell ref="D41:E41"/>
    <mergeCell ref="D121:E1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2026-10-02T14:02:58Z</dcterms:modified>
</cp:coreProperties>
</file>