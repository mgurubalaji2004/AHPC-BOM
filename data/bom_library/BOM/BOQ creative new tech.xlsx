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5970" windowHeight="87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2" i="1" l="1"/>
  <c r="E72" i="1"/>
  <c r="E102" i="1"/>
  <c r="E84" i="1"/>
  <c r="E120" i="1"/>
  <c r="E172" i="1"/>
  <c r="E67" i="1"/>
  <c r="E177" i="1" l="1"/>
  <c r="F177" i="1" s="1"/>
  <c r="E137" i="1"/>
  <c r="E178" i="1" l="1"/>
  <c r="E179" i="1" s="1"/>
  <c r="F179" i="1" s="1"/>
  <c r="E159" i="1"/>
  <c r="F159" i="1" s="1"/>
  <c r="E141" i="1"/>
  <c r="F141" i="1" s="1"/>
  <c r="E123" i="1"/>
  <c r="E106" i="1"/>
  <c r="F106" i="1" s="1"/>
  <c r="E88" i="1"/>
  <c r="F88" i="1" l="1"/>
  <c r="E89" i="1"/>
  <c r="F89" i="1" s="1"/>
  <c r="E180" i="1"/>
  <c r="E181" i="1" s="1"/>
  <c r="F178" i="1"/>
  <c r="F180" i="1"/>
  <c r="F181" i="1" s="1"/>
  <c r="E142" i="1"/>
  <c r="E143" i="1" s="1"/>
  <c r="E144" i="1" s="1"/>
  <c r="E145" i="1" s="1"/>
  <c r="E160" i="1"/>
  <c r="F160" i="1" s="1"/>
  <c r="F107" i="1"/>
  <c r="F108" i="1" s="1"/>
  <c r="E107" i="1"/>
  <c r="E108" i="1" s="1"/>
  <c r="E109" i="1" s="1"/>
  <c r="E110" i="1" s="1"/>
  <c r="F123" i="1"/>
  <c r="E124" i="1"/>
  <c r="F124" i="1" s="1"/>
  <c r="F142" i="1" l="1"/>
  <c r="F143" i="1"/>
  <c r="F144" i="1" s="1"/>
  <c r="F145" i="1" s="1"/>
  <c r="E161" i="1"/>
  <c r="E162" i="1" s="1"/>
  <c r="F109" i="1"/>
  <c r="F110" i="1" s="1"/>
  <c r="E125" i="1"/>
  <c r="F161" i="1"/>
  <c r="E90" i="1"/>
  <c r="E70" i="1"/>
  <c r="E54" i="1"/>
  <c r="F54" i="1" s="1"/>
  <c r="E35" i="1"/>
  <c r="F35" i="1" s="1"/>
  <c r="E16" i="1"/>
  <c r="F16" i="1" s="1"/>
  <c r="E163" i="1" l="1"/>
  <c r="F125" i="1"/>
  <c r="E126" i="1"/>
  <c r="E127" i="1" s="1"/>
  <c r="E71" i="1"/>
  <c r="F71" i="1" s="1"/>
  <c r="G70" i="1"/>
  <c r="F162" i="1"/>
  <c r="F163" i="1" s="1"/>
  <c r="F126" i="1"/>
  <c r="F127" i="1" s="1"/>
  <c r="E91" i="1"/>
  <c r="E92" i="1" s="1"/>
  <c r="F90" i="1"/>
  <c r="F70" i="1"/>
  <c r="G35" i="1"/>
  <c r="E55" i="1"/>
  <c r="E36" i="1"/>
  <c r="G36" i="1" s="1"/>
  <c r="E17" i="1"/>
  <c r="F17" i="1" s="1"/>
  <c r="F72" i="1" l="1"/>
  <c r="G71" i="1"/>
  <c r="F91" i="1"/>
  <c r="F92" i="1" s="1"/>
  <c r="E56" i="1"/>
  <c r="F56" i="1" s="1"/>
  <c r="F55" i="1"/>
  <c r="E37" i="1"/>
  <c r="E38" i="1" s="1"/>
  <c r="E39" i="1" s="1"/>
  <c r="F36" i="1"/>
  <c r="E18" i="1"/>
  <c r="F18" i="1" s="1"/>
  <c r="F19" i="1" s="1"/>
  <c r="F20" i="1" s="1"/>
  <c r="E73" i="1" l="1"/>
  <c r="E74" i="1" s="1"/>
  <c r="G73" i="1"/>
  <c r="G74" i="1" s="1"/>
  <c r="E57" i="1"/>
  <c r="E58" i="1" s="1"/>
  <c r="F73" i="1"/>
  <c r="F74" i="1" s="1"/>
  <c r="F37" i="1"/>
  <c r="F38" i="1" s="1"/>
  <c r="F39" i="1" s="1"/>
  <c r="G37" i="1"/>
  <c r="F57" i="1"/>
  <c r="F58" i="1"/>
  <c r="E19" i="1"/>
  <c r="E20" i="1" s="1"/>
  <c r="G38" i="1" l="1"/>
  <c r="G39" i="1" s="1"/>
</calcChain>
</file>

<file path=xl/sharedStrings.xml><?xml version="1.0" encoding="utf-8"?>
<sst xmlns="http://schemas.openxmlformats.org/spreadsheetml/2006/main" count="307" uniqueCount="91">
  <si>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</si>
  <si>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</si>
  <si>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</si>
  <si>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</si>
  <si>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</si>
  <si>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</si>
  <si>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</si>
  <si>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</si>
  <si>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</si>
  <si>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</si>
  <si>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</si>
  <si>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</si>
  <si>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</si>
  <si>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</si>
  <si>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</si>
  <si>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</si>
  <si>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</si>
  <si>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</si>
  <si>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Monitor</t>
  </si>
  <si>
    <t>keyboard Mouse</t>
  </si>
  <si>
    <t>Margin-15%</t>
  </si>
  <si>
    <t>From</t>
  </si>
  <si>
    <t>21" Monitor</t>
  </si>
  <si>
    <t>Wired Keyboard and Mouse</t>
  </si>
  <si>
    <t>480GB SATA SSD</t>
  </si>
  <si>
    <t>960GB SATA SSD</t>
  </si>
  <si>
    <t>32GB DDR5 4800MHz</t>
  </si>
  <si>
    <t>Intel® Xeon® Silver 4510 Processor</t>
  </si>
  <si>
    <t>MS03-CE0</t>
  </si>
  <si>
    <t>16GB DDR5 4800MHz</t>
  </si>
  <si>
    <t>MS03-CE0 2 x 1 Gb/s LAN  7 x PCIe x16 slots with Gen5 x16 and x8 lanes   Intel® C741</t>
  </si>
  <si>
    <t>NVIDIA A400</t>
  </si>
  <si>
    <t>2U Rack Mountable Chassis</t>
  </si>
  <si>
    <t>800W RPS</t>
  </si>
  <si>
    <t>Intel® Xeon® Silver 4510 Processor (12-Cores, Base Freq 2.40GHz, Max Freq 4.10GHz, Cache 30MB)</t>
  </si>
  <si>
    <t>GPU</t>
  </si>
  <si>
    <t xml:space="preserve">keyboard </t>
  </si>
  <si>
    <t>OS</t>
  </si>
  <si>
    <t>Windows 11 Pro</t>
  </si>
  <si>
    <t>Spec 2 &amp; 3 &amp; 4 &amp; 5</t>
  </si>
  <si>
    <t>Quantity 2</t>
  </si>
  <si>
    <t>Quantity 4</t>
  </si>
  <si>
    <t>Spedc 5</t>
  </si>
  <si>
    <t>Windows 2022 STD</t>
  </si>
  <si>
    <t xml:space="preserve">2U Rack Mountable Chassis </t>
  </si>
  <si>
    <t>Spec 6 &amp; 11 &amp; 12 &amp; 18</t>
  </si>
  <si>
    <t>Spec 7 &amp; 8 &amp; 9 &amp; 10 &amp; 16</t>
  </si>
  <si>
    <t>X11SPL-F Super Micro</t>
  </si>
  <si>
    <t>Intel® Xeon® Silver 4208 Processor (8-Cores, Base Freq 2.10GHz, Max Freq 3.20GHz, Cache 11MB)</t>
  </si>
  <si>
    <t>2TB SATA HDD</t>
  </si>
  <si>
    <t>Spec 14                                 100TB</t>
  </si>
  <si>
    <t>Spec 15                                 840TB</t>
  </si>
  <si>
    <t>Quantity 28</t>
  </si>
  <si>
    <t>Quantity 30</t>
  </si>
  <si>
    <t>Spec 16</t>
  </si>
  <si>
    <t>Spec 17, 20</t>
  </si>
  <si>
    <t>Spec 19</t>
  </si>
  <si>
    <t>Intel® Xeon® Silver 4514Y Processor (16-Cores, Base Freq 2.00GHz, Max Freq 3.40GHz, Cache 30MB)</t>
  </si>
  <si>
    <t>64GB DDR5 4800MHz</t>
  </si>
  <si>
    <t>Raid Card</t>
  </si>
  <si>
    <t xml:space="preserve">2U 8-Bays Rack Mountable Chassis </t>
  </si>
  <si>
    <t>Dynatrin</t>
  </si>
  <si>
    <t>MiTac server  S5642AGMNRE Gen 3Intel</t>
  </si>
  <si>
    <t>Intel® Xeon® Silver 4310 Processor (12-Cores, Base Freq 2.10GHz, Max Freq 3.30GHz, Cache 18MB)</t>
  </si>
  <si>
    <t>32GB DDR4 2666</t>
  </si>
  <si>
    <t>9460-8i</t>
  </si>
  <si>
    <t>Spec 21, 22, 23</t>
  </si>
  <si>
    <t>2U 12-Bay Rackmount Server Chassis</t>
  </si>
  <si>
    <t>GIGABYTE MS73-HB2</t>
  </si>
  <si>
    <t>32GB DDR5 ECC RDIMM</t>
  </si>
  <si>
    <t xml:space="preserve">Samsung PM1633a 480GB Enterprise SAS SSD </t>
  </si>
  <si>
    <t>Dynatron S5R1</t>
  </si>
  <si>
    <t>800W 80+ Platinum Redundant Power Supply (1+1)</t>
  </si>
  <si>
    <t>64GB DDR4</t>
  </si>
  <si>
    <t>20TB NL-SAS HDD</t>
  </si>
  <si>
    <t>2 × Intel® Xeon® Silver 4510T Processor (12 Core,2.0GHz Base Frequency, Max Freq 3.7GHz, 30MB Cache)</t>
  </si>
  <si>
    <t>16TB NL-SAS Enterprise HDD</t>
  </si>
  <si>
    <t>9460-16i</t>
  </si>
  <si>
    <t>4U 60Bays AIC</t>
  </si>
  <si>
    <t>HDD</t>
  </si>
  <si>
    <t>MZ33-AR1</t>
  </si>
  <si>
    <t>AMD EPYC™ 9124 (Cores-16, Base Freq 3.00GHz, Max Freq 3.70GHz, Cache 64MB)</t>
  </si>
  <si>
    <t>J12</t>
  </si>
  <si>
    <t xml:space="preserve">64GB DDR5 4800MHz </t>
  </si>
  <si>
    <t xml:space="preserve">480GB SATA SSD </t>
  </si>
  <si>
    <t>1600W RPS</t>
  </si>
  <si>
    <t xml:space="preserve">Spec 13                                 670TB </t>
  </si>
  <si>
    <t xml:space="preserve">20TB NL-SAS HDD 680TB </t>
  </si>
  <si>
    <t>4U 36Bays chen bro 2 x 2.5</t>
  </si>
  <si>
    <t>2U 12 Bays</t>
  </si>
  <si>
    <t>1200W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</si>
</sst>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6" borderId="4" xfId="0" applyFill="1" applyBorder="1"/>
    <xf numFmtId="4" fontId="4" fillId="0" borderId="1" xfId="0" applyNumberFormat="1" applyFont="1" applyBorder="1"/>
    <xf numFmtId="4" fontId="0" fillId="0" borderId="1" xfId="0" applyNumberFormat="1" applyBorder="1"/>
    <xf numFmtId="0" fontId="5" fillId="6" borderId="1" xfId="0" applyFont="1" applyFill="1" applyBorder="1"/>
    <xf numFmtId="0" fontId="5" fillId="10" borderId="1" xfId="0" applyFont="1" applyFill="1" applyBorder="1"/>
    <xf numFmtId="0" fontId="0" fillId="10" borderId="4" xfId="0" applyFill="1" applyBorder="1"/>
    <xf numFmtId="0" fontId="0" fillId="10" borderId="0" xfId="0" applyFill="1"/>
    <xf numFmtId="0" fontId="0" fillId="9" borderId="4" xfId="0" applyFill="1" applyBorder="1"/>
    <xf numFmtId="0" fontId="5" fillId="3" borderId="1" xfId="0" applyFont="1" applyFill="1" applyBorder="1"/>
    <xf numFmtId="0" fontId="0" fillId="7" borderId="4" xfId="0" applyFill="1" applyBorder="1"/>
    <xf numFmtId="0" fontId="5" fillId="7" borderId="1" xfId="0" applyFont="1" applyFill="1" applyBorder="1"/>
    <xf numFmtId="0" fontId="0" fillId="11" borderId="4" xfId="0" applyFill="1" applyBorder="1"/>
    <xf numFmtId="0" fontId="5" fillId="11" borderId="1" xfId="0" applyFont="1" applyFill="1" applyBorder="1"/>
    <xf numFmtId="0" fontId="0" fillId="11" borderId="0" xfId="0" applyFill="1"/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2" fillId="0" borderId="0" xfId="0" applyFont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7" fillId="0" borderId="1" xfId="0" applyFont="1" applyBorder="1" applyAlignment="1">
      <alignment horizontal="center" wrapText="1"/>
    </xf>
    <xf numFmtId="3" fontId="7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1"/>
  <sheetViews>
    <sheetView tabSelected="1" topLeftCell="A151" zoomScaleNormal="100" workbookViewId="0">
      <selection activeCell="F173" sqref="F173"/>
    </sheetView>
  </sheetViews>
  <sheetFormatPr defaultRowHeight="15" x14ac:dyDescent="0.25"/>
  <cols>
    <col min="1" max="1" width="15.28515625" customWidth="1"/>
    <col min="2" max="2" width="51.140625" customWidth="1"/>
    <col min="3" max="3" width="12.7109375" customWidth="1"/>
    <col min="4" max="4" width="15.5703125" customWidth="1"/>
    <col min="5" max="5" width="16.7109375" customWidth="1"/>
    <col min="6" max="6" width="16.85546875" customWidth="1"/>
    <col min="7" max="7" width="15.710937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1"/>
      <c r="E2" s="32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21</v>
      </c>
    </row>
    <row r="4" spans="1:6" ht="15.75" x14ac:dyDescent="0.25">
      <c r="A4" s="9" t="s">
        <v>7</v>
      </c>
      <c r="B4" s="10" t="s">
        <v>32</v>
      </c>
      <c r="C4" s="11">
        <v>1</v>
      </c>
      <c r="D4" s="12">
        <v>35000</v>
      </c>
      <c r="E4" s="13">
        <v>35000</v>
      </c>
      <c r="F4" s="14"/>
    </row>
    <row r="5" spans="1:6" ht="31.5" x14ac:dyDescent="0.25">
      <c r="A5" s="9" t="s">
        <v>8</v>
      </c>
      <c r="B5" s="15" t="s">
        <v>30</v>
      </c>
      <c r="C5" s="11">
        <v>1</v>
      </c>
      <c r="D5" s="12">
        <v>65500</v>
      </c>
      <c r="E5" s="13">
        <v>66000</v>
      </c>
      <c r="F5" s="14"/>
    </row>
    <row r="6" spans="1:6" ht="35.25" customHeight="1" x14ac:dyDescent="0.25">
      <c r="A6" s="9" t="s">
        <v>9</v>
      </c>
      <c r="B6" s="16" t="s">
        <v>34</v>
      </c>
      <c r="C6" s="11">
        <v>1</v>
      </c>
      <c r="D6" s="12">
        <v>90000</v>
      </c>
      <c r="E6" s="17">
        <v>90000</v>
      </c>
      <c r="F6" s="14"/>
    </row>
    <row r="7" spans="1:6" ht="15.75" x14ac:dyDescent="0.25">
      <c r="A7" s="9" t="s">
        <v>10</v>
      </c>
      <c r="B7" s="18"/>
      <c r="C7" s="11">
        <v>1</v>
      </c>
      <c r="D7" s="12">
        <v>7500</v>
      </c>
      <c r="E7" s="17">
        <v>7500</v>
      </c>
      <c r="F7" s="14"/>
    </row>
    <row r="8" spans="1:6" ht="15.75" x14ac:dyDescent="0.25">
      <c r="A8" s="9" t="s">
        <v>11</v>
      </c>
      <c r="B8" s="19" t="s">
        <v>26</v>
      </c>
      <c r="C8" s="11">
        <v>1</v>
      </c>
      <c r="D8" s="12">
        <v>110000</v>
      </c>
      <c r="E8" s="17">
        <v>110000</v>
      </c>
      <c r="F8" s="14"/>
    </row>
    <row r="9" spans="1:6" ht="15.75" x14ac:dyDescent="0.25">
      <c r="A9" s="9" t="s">
        <v>12</v>
      </c>
      <c r="B9" s="16" t="s">
        <v>24</v>
      </c>
      <c r="C9" s="11">
        <v>1</v>
      </c>
      <c r="D9" s="12">
        <v>30600</v>
      </c>
      <c r="E9" s="17">
        <v>31000</v>
      </c>
      <c r="F9" s="14"/>
    </row>
    <row r="10" spans="1:6" ht="15.75" x14ac:dyDescent="0.25">
      <c r="A10" s="9"/>
      <c r="B10" s="16" t="s">
        <v>25</v>
      </c>
      <c r="C10" s="11">
        <v>1</v>
      </c>
      <c r="D10" s="12">
        <v>52000</v>
      </c>
      <c r="E10" s="17">
        <v>52000</v>
      </c>
      <c r="F10" s="14"/>
    </row>
    <row r="11" spans="1:6" ht="15.75" x14ac:dyDescent="0.25">
      <c r="A11" s="9" t="s">
        <v>35</v>
      </c>
      <c r="B11" s="16" t="s">
        <v>31</v>
      </c>
      <c r="C11" s="11">
        <v>1</v>
      </c>
      <c r="D11" s="12">
        <v>18500</v>
      </c>
      <c r="E11" s="17">
        <v>19000</v>
      </c>
      <c r="F11" s="14"/>
    </row>
    <row r="12" spans="1:6" ht="15.75" x14ac:dyDescent="0.25">
      <c r="A12" s="9" t="s">
        <v>13</v>
      </c>
      <c r="B12" s="16" t="s">
        <v>33</v>
      </c>
      <c r="C12" s="11">
        <v>1</v>
      </c>
      <c r="D12" s="12">
        <v>35000</v>
      </c>
      <c r="E12" s="20">
        <v>35000</v>
      </c>
      <c r="F12" s="14"/>
    </row>
    <row r="13" spans="1:6" ht="15.75" x14ac:dyDescent="0.25">
      <c r="A13" s="9" t="s">
        <v>18</v>
      </c>
      <c r="B13" s="14" t="s">
        <v>22</v>
      </c>
      <c r="C13" s="11">
        <v>1</v>
      </c>
      <c r="D13" s="21">
        <v>5500</v>
      </c>
      <c r="E13" s="22">
        <v>5500</v>
      </c>
      <c r="F13" s="14"/>
    </row>
    <row r="14" spans="1:6" ht="16.5" customHeight="1" x14ac:dyDescent="0.25">
      <c r="A14" s="9" t="s">
        <v>19</v>
      </c>
      <c r="B14" s="19" t="s">
        <v>23</v>
      </c>
      <c r="C14" s="11">
        <v>1</v>
      </c>
      <c r="D14" s="12">
        <v>1000</v>
      </c>
      <c r="E14" s="20">
        <v>1500</v>
      </c>
      <c r="F14" s="14"/>
    </row>
    <row r="15" spans="1:6" ht="16.5" customHeight="1" x14ac:dyDescent="0.25">
      <c r="A15" s="9" t="s">
        <v>37</v>
      </c>
      <c r="B15" s="19" t="s">
        <v>38</v>
      </c>
      <c r="C15" s="11">
        <v>1</v>
      </c>
      <c r="D15" s="12">
        <v>8500</v>
      </c>
      <c r="E15" s="20">
        <v>9000</v>
      </c>
      <c r="F15" s="14" t="s">
        <v>40</v>
      </c>
    </row>
    <row r="16" spans="1:6" ht="16.149999999999999" customHeight="1" x14ac:dyDescent="0.25">
      <c r="A16" s="9"/>
      <c r="B16" s="23"/>
      <c r="C16" s="24" t="s">
        <v>17</v>
      </c>
      <c r="D16" s="25"/>
      <c r="E16" s="8">
        <f>SUM(E4:E15)</f>
        <v>461500</v>
      </c>
      <c r="F16" s="38">
        <f>E16*2</f>
        <v>923000</v>
      </c>
    </row>
    <row r="17" spans="1:6" ht="16.149999999999999" customHeight="1" x14ac:dyDescent="0.25">
      <c r="A17" s="9"/>
      <c r="B17" s="23"/>
      <c r="C17" s="30">
        <v>0.15</v>
      </c>
      <c r="D17" s="25"/>
      <c r="E17" s="26">
        <f>E16*15%</f>
        <v>69225</v>
      </c>
      <c r="F17" s="38">
        <f>E17*2</f>
        <v>138450</v>
      </c>
    </row>
    <row r="18" spans="1:6" ht="18" customHeight="1" x14ac:dyDescent="0.25">
      <c r="A18" s="9"/>
      <c r="B18" s="9"/>
      <c r="C18" s="24" t="s">
        <v>20</v>
      </c>
      <c r="D18" s="27"/>
      <c r="E18" s="8">
        <f>SUM(E16:E17)</f>
        <v>530725</v>
      </c>
      <c r="F18" s="38">
        <f>E18*2</f>
        <v>1061450</v>
      </c>
    </row>
    <row r="19" spans="1:6" ht="15.75" x14ac:dyDescent="0.25">
      <c r="A19" s="9"/>
      <c r="B19" s="9"/>
      <c r="C19" s="28" t="s">
        <v>14</v>
      </c>
      <c r="D19" s="29"/>
      <c r="E19" s="7">
        <f>E18*18%</f>
        <v>95530.5</v>
      </c>
      <c r="F19" s="38">
        <f>F18*18%</f>
        <v>191061</v>
      </c>
    </row>
    <row r="20" spans="1:6" ht="15.75" x14ac:dyDescent="0.25">
      <c r="A20" s="9"/>
      <c r="B20" s="9"/>
      <c r="C20" s="28" t="s">
        <v>15</v>
      </c>
      <c r="D20" s="29"/>
      <c r="E20" s="7">
        <f>SUM(E18:E19)</f>
        <v>626255.5</v>
      </c>
      <c r="F20" s="38">
        <f>SUM(F18:F19)</f>
        <v>1252511</v>
      </c>
    </row>
    <row r="21" spans="1:6" s="33" customFormat="1" x14ac:dyDescent="0.25">
      <c r="B21" s="40" t="s">
        <v>39</v>
      </c>
    </row>
    <row r="22" spans="1:6" x14ac:dyDescent="0.25">
      <c r="A22" s="6" t="s">
        <v>3</v>
      </c>
      <c r="B22" s="6" t="s">
        <v>4</v>
      </c>
      <c r="C22" s="6" t="s">
        <v>5</v>
      </c>
      <c r="D22" s="6" t="s">
        <v>16</v>
      </c>
      <c r="E22" s="6" t="s">
        <v>6</v>
      </c>
      <c r="F22" s="6" t="s">
        <v>21</v>
      </c>
    </row>
    <row r="23" spans="1:6" ht="15.75" x14ac:dyDescent="0.25">
      <c r="A23" s="9" t="s">
        <v>7</v>
      </c>
      <c r="B23" s="10" t="s">
        <v>32</v>
      </c>
      <c r="C23" s="11">
        <v>1</v>
      </c>
      <c r="D23" s="12">
        <v>35000</v>
      </c>
      <c r="E23" s="13">
        <v>35000</v>
      </c>
      <c r="F23" s="14"/>
    </row>
    <row r="24" spans="1:6" ht="15.75" x14ac:dyDescent="0.25">
      <c r="A24" s="9" t="s">
        <v>8</v>
      </c>
      <c r="B24" s="15" t="s">
        <v>28</v>
      </c>
      <c r="C24" s="11">
        <v>1</v>
      </c>
      <c r="D24" s="12">
        <v>65500</v>
      </c>
      <c r="E24" s="13">
        <v>66000</v>
      </c>
      <c r="F24" s="14"/>
    </row>
    <row r="25" spans="1:6" ht="15.75" x14ac:dyDescent="0.25">
      <c r="A25" s="9" t="s">
        <v>9</v>
      </c>
      <c r="B25" s="16" t="s">
        <v>27</v>
      </c>
      <c r="C25" s="11">
        <v>1</v>
      </c>
      <c r="D25" s="12">
        <v>90000</v>
      </c>
      <c r="E25" s="17">
        <v>90000</v>
      </c>
      <c r="F25" s="14"/>
    </row>
    <row r="26" spans="1:6" ht="15.75" x14ac:dyDescent="0.25">
      <c r="A26" s="9" t="s">
        <v>10</v>
      </c>
      <c r="B26" s="18"/>
      <c r="C26" s="11">
        <v>1</v>
      </c>
      <c r="D26" s="12">
        <v>7500</v>
      </c>
      <c r="E26" s="17">
        <v>7500</v>
      </c>
      <c r="F26" s="14"/>
    </row>
    <row r="27" spans="1:6" ht="15.75" x14ac:dyDescent="0.25">
      <c r="A27" s="9" t="s">
        <v>11</v>
      </c>
      <c r="B27" s="19" t="s">
        <v>29</v>
      </c>
      <c r="C27" s="11">
        <v>1</v>
      </c>
      <c r="D27" s="12">
        <v>50000</v>
      </c>
      <c r="E27" s="17">
        <v>50000</v>
      </c>
      <c r="F27" s="14"/>
    </row>
    <row r="28" spans="1:6" ht="15.75" x14ac:dyDescent="0.25">
      <c r="A28" s="9" t="s">
        <v>12</v>
      </c>
      <c r="B28" s="16" t="s">
        <v>24</v>
      </c>
      <c r="C28" s="11">
        <v>1</v>
      </c>
      <c r="D28" s="12">
        <v>30600</v>
      </c>
      <c r="E28" s="17">
        <v>31000</v>
      </c>
      <c r="F28" s="14"/>
    </row>
    <row r="29" spans="1:6" ht="15.75" x14ac:dyDescent="0.25">
      <c r="A29" s="9"/>
      <c r="B29" s="16" t="s">
        <v>25</v>
      </c>
      <c r="C29" s="11">
        <v>1</v>
      </c>
      <c r="D29" s="12">
        <v>52000</v>
      </c>
      <c r="E29" s="17">
        <v>52000</v>
      </c>
      <c r="F29" s="14"/>
    </row>
    <row r="30" spans="1:6" ht="15.75" x14ac:dyDescent="0.25">
      <c r="A30" s="9" t="s">
        <v>35</v>
      </c>
      <c r="B30" s="16" t="s">
        <v>31</v>
      </c>
      <c r="C30" s="11">
        <v>1</v>
      </c>
      <c r="D30" s="12">
        <v>18500</v>
      </c>
      <c r="E30" s="17">
        <v>19000</v>
      </c>
      <c r="F30" s="14"/>
    </row>
    <row r="31" spans="1:6" ht="15.75" x14ac:dyDescent="0.25">
      <c r="A31" s="9" t="s">
        <v>13</v>
      </c>
      <c r="B31" s="16" t="s">
        <v>33</v>
      </c>
      <c r="C31" s="11">
        <v>1</v>
      </c>
      <c r="D31" s="12">
        <v>35000</v>
      </c>
      <c r="E31" s="20">
        <v>35000</v>
      </c>
      <c r="F31" s="14"/>
    </row>
    <row r="32" spans="1:6" ht="15.75" x14ac:dyDescent="0.25">
      <c r="A32" s="9" t="s">
        <v>18</v>
      </c>
      <c r="B32" s="14" t="s">
        <v>22</v>
      </c>
      <c r="C32" s="11">
        <v>1</v>
      </c>
      <c r="D32" s="21">
        <v>5500</v>
      </c>
      <c r="E32" s="22">
        <v>5500</v>
      </c>
      <c r="F32" s="14"/>
    </row>
    <row r="33" spans="1:7" ht="15.75" x14ac:dyDescent="0.25">
      <c r="A33" s="9" t="s">
        <v>36</v>
      </c>
      <c r="B33" s="19" t="s">
        <v>23</v>
      </c>
      <c r="C33" s="11">
        <v>1</v>
      </c>
      <c r="D33" s="12">
        <v>1000</v>
      </c>
      <c r="E33" s="20">
        <v>1500</v>
      </c>
      <c r="F33" s="14"/>
      <c r="G33" s="35" t="s">
        <v>42</v>
      </c>
    </row>
    <row r="34" spans="1:7" ht="15.75" x14ac:dyDescent="0.25">
      <c r="A34" s="9" t="s">
        <v>37</v>
      </c>
      <c r="B34" s="19" t="s">
        <v>38</v>
      </c>
      <c r="C34" s="11">
        <v>1</v>
      </c>
      <c r="D34" s="12">
        <v>8500</v>
      </c>
      <c r="E34" s="20">
        <v>9000</v>
      </c>
      <c r="F34" s="14" t="s">
        <v>40</v>
      </c>
      <c r="G34" s="14" t="s">
        <v>41</v>
      </c>
    </row>
    <row r="35" spans="1:7" ht="15.75" x14ac:dyDescent="0.25">
      <c r="A35" s="9"/>
      <c r="B35" s="23"/>
      <c r="C35" s="24" t="s">
        <v>17</v>
      </c>
      <c r="D35" s="25"/>
      <c r="E35" s="8">
        <f>SUM(E23:E34)</f>
        <v>401500</v>
      </c>
      <c r="F35" s="38">
        <f>E35*2</f>
        <v>803000</v>
      </c>
      <c r="G35" s="39">
        <f>E35*4</f>
        <v>1606000</v>
      </c>
    </row>
    <row r="36" spans="1:7" ht="15.75" x14ac:dyDescent="0.25">
      <c r="A36" s="9"/>
      <c r="B36" s="23"/>
      <c r="C36" s="30">
        <v>0.15</v>
      </c>
      <c r="D36" s="25"/>
      <c r="E36" s="26">
        <f>E35*15%</f>
        <v>60225</v>
      </c>
      <c r="F36" s="38">
        <f>E36*2</f>
        <v>120450</v>
      </c>
      <c r="G36" s="39">
        <f>E36*4</f>
        <v>240900</v>
      </c>
    </row>
    <row r="37" spans="1:7" ht="15.75" x14ac:dyDescent="0.25">
      <c r="A37" s="9"/>
      <c r="B37" s="9"/>
      <c r="C37" s="24" t="s">
        <v>20</v>
      </c>
      <c r="D37" s="27"/>
      <c r="E37" s="8">
        <f>SUM(E35:E36)</f>
        <v>461725</v>
      </c>
      <c r="F37" s="38">
        <f>E37*2</f>
        <v>923450</v>
      </c>
      <c r="G37" s="39">
        <f>E37*4</f>
        <v>1846900</v>
      </c>
    </row>
    <row r="38" spans="1:7" ht="15.75" x14ac:dyDescent="0.25">
      <c r="A38" s="9"/>
      <c r="B38" s="9"/>
      <c r="C38" s="28" t="s">
        <v>14</v>
      </c>
      <c r="D38" s="29"/>
      <c r="E38" s="7">
        <f>E37*18%</f>
        <v>83110.5</v>
      </c>
      <c r="F38" s="38">
        <f>F37*18%</f>
        <v>166221</v>
      </c>
      <c r="G38" s="39">
        <f>G37*18%</f>
        <v>332442</v>
      </c>
    </row>
    <row r="39" spans="1:7" ht="15.75" x14ac:dyDescent="0.25">
      <c r="A39" s="9"/>
      <c r="B39" s="9"/>
      <c r="C39" s="28" t="s">
        <v>15</v>
      </c>
      <c r="D39" s="29"/>
      <c r="E39" s="7">
        <f>SUM(E37:E38)</f>
        <v>544835.5</v>
      </c>
      <c r="F39" s="38">
        <f>SUM(F37:F38)</f>
        <v>1089671</v>
      </c>
      <c r="G39" s="39">
        <f>SUM(G37:G38)</f>
        <v>2179342</v>
      </c>
    </row>
    <row r="41" spans="1:7" s="37" customFormat="1" x14ac:dyDescent="0.25">
      <c r="B41" s="40" t="s">
        <v>45</v>
      </c>
    </row>
    <row r="42" spans="1:7" x14ac:dyDescent="0.25">
      <c r="A42" s="6" t="s">
        <v>3</v>
      </c>
      <c r="B42" s="6" t="s">
        <v>4</v>
      </c>
      <c r="C42" s="6" t="s">
        <v>5</v>
      </c>
      <c r="D42" s="6" t="s">
        <v>16</v>
      </c>
      <c r="E42" s="6" t="s">
        <v>6</v>
      </c>
      <c r="F42" s="6" t="s">
        <v>21</v>
      </c>
    </row>
    <row r="43" spans="1:7" ht="15.75" x14ac:dyDescent="0.25">
      <c r="A43" s="9" t="s">
        <v>7</v>
      </c>
      <c r="B43" s="10" t="s">
        <v>32</v>
      </c>
      <c r="C43" s="11">
        <v>1</v>
      </c>
      <c r="D43" s="12">
        <v>35000</v>
      </c>
      <c r="E43" s="13">
        <v>35000</v>
      </c>
      <c r="F43" s="14"/>
    </row>
    <row r="44" spans="1:7" ht="15.75" x14ac:dyDescent="0.25">
      <c r="A44" s="9" t="s">
        <v>8</v>
      </c>
      <c r="B44" s="15" t="s">
        <v>28</v>
      </c>
      <c r="C44" s="11">
        <v>1</v>
      </c>
      <c r="D44" s="12">
        <v>65500</v>
      </c>
      <c r="E44" s="13">
        <v>66000</v>
      </c>
      <c r="F44" s="14"/>
    </row>
    <row r="45" spans="1:7" ht="15.75" x14ac:dyDescent="0.25">
      <c r="A45" s="9" t="s">
        <v>9</v>
      </c>
      <c r="B45" s="16" t="s">
        <v>27</v>
      </c>
      <c r="C45" s="11">
        <v>1</v>
      </c>
      <c r="D45" s="12">
        <v>90000</v>
      </c>
      <c r="E45" s="17">
        <v>90000</v>
      </c>
      <c r="F45" s="14"/>
    </row>
    <row r="46" spans="1:7" ht="15.75" x14ac:dyDescent="0.25">
      <c r="A46" s="9" t="s">
        <v>10</v>
      </c>
      <c r="B46" s="18"/>
      <c r="C46" s="11">
        <v>1</v>
      </c>
      <c r="D46" s="12">
        <v>7500</v>
      </c>
      <c r="E46" s="17">
        <v>7500</v>
      </c>
      <c r="F46" s="14"/>
    </row>
    <row r="47" spans="1:7" ht="15.75" x14ac:dyDescent="0.25">
      <c r="A47" s="9" t="s">
        <v>11</v>
      </c>
      <c r="B47" s="19" t="s">
        <v>29</v>
      </c>
      <c r="C47" s="11">
        <v>1</v>
      </c>
      <c r="D47" s="12">
        <v>50000</v>
      </c>
      <c r="E47" s="17">
        <v>50000</v>
      </c>
      <c r="F47" s="14"/>
    </row>
    <row r="48" spans="1:7" ht="15.75" x14ac:dyDescent="0.25">
      <c r="A48" s="9" t="s">
        <v>12</v>
      </c>
      <c r="B48" s="16" t="s">
        <v>24</v>
      </c>
      <c r="C48" s="11">
        <v>1</v>
      </c>
      <c r="D48" s="12">
        <v>30600</v>
      </c>
      <c r="E48" s="17">
        <v>31000</v>
      </c>
      <c r="F48" s="14"/>
    </row>
    <row r="49" spans="1:6" ht="15.75" x14ac:dyDescent="0.25">
      <c r="A49" s="9"/>
      <c r="B49" s="16" t="s">
        <v>25</v>
      </c>
      <c r="C49" s="11">
        <v>1</v>
      </c>
      <c r="D49" s="12">
        <v>52000</v>
      </c>
      <c r="E49" s="17">
        <v>52000</v>
      </c>
      <c r="F49" s="14"/>
    </row>
    <row r="50" spans="1:6" ht="15.75" x14ac:dyDescent="0.25">
      <c r="A50" s="9" t="s">
        <v>35</v>
      </c>
      <c r="B50" s="16" t="s">
        <v>31</v>
      </c>
      <c r="C50" s="11">
        <v>1</v>
      </c>
      <c r="D50" s="12">
        <v>18500</v>
      </c>
      <c r="E50" s="17">
        <v>19000</v>
      </c>
      <c r="F50" s="14"/>
    </row>
    <row r="51" spans="1:6" ht="15.75" x14ac:dyDescent="0.25">
      <c r="A51" s="9" t="s">
        <v>13</v>
      </c>
      <c r="B51" s="16" t="s">
        <v>33</v>
      </c>
      <c r="C51" s="11">
        <v>1</v>
      </c>
      <c r="D51" s="12">
        <v>35000</v>
      </c>
      <c r="E51" s="20">
        <v>35000</v>
      </c>
      <c r="F51" s="14"/>
    </row>
    <row r="52" spans="1:6" ht="15.75" x14ac:dyDescent="0.25">
      <c r="A52" s="9" t="s">
        <v>36</v>
      </c>
      <c r="B52" s="19" t="s">
        <v>23</v>
      </c>
      <c r="C52" s="11">
        <v>1</v>
      </c>
      <c r="D52" s="12">
        <v>1000</v>
      </c>
      <c r="E52" s="20">
        <v>1500</v>
      </c>
      <c r="F52" s="14"/>
    </row>
    <row r="53" spans="1:6" ht="15.75" x14ac:dyDescent="0.25">
      <c r="A53" s="9" t="s">
        <v>37</v>
      </c>
      <c r="B53" s="19" t="s">
        <v>38</v>
      </c>
      <c r="C53" s="11">
        <v>1</v>
      </c>
      <c r="D53" s="12">
        <v>8500</v>
      </c>
      <c r="E53" s="20">
        <v>9000</v>
      </c>
      <c r="F53" s="14" t="s">
        <v>40</v>
      </c>
    </row>
    <row r="54" spans="1:6" ht="15.75" x14ac:dyDescent="0.25">
      <c r="A54" s="9"/>
      <c r="B54" s="23"/>
      <c r="C54" s="24" t="s">
        <v>17</v>
      </c>
      <c r="D54" s="25"/>
      <c r="E54" s="8">
        <f>SUM(E43:E53)</f>
        <v>396000</v>
      </c>
      <c r="F54" s="38">
        <f>E54*2</f>
        <v>792000</v>
      </c>
    </row>
    <row r="55" spans="1:6" ht="15.75" x14ac:dyDescent="0.25">
      <c r="A55" s="9"/>
      <c r="B55" s="23"/>
      <c r="C55" s="30">
        <v>0.15</v>
      </c>
      <c r="D55" s="25"/>
      <c r="E55" s="26">
        <f>E54*15%</f>
        <v>59400</v>
      </c>
      <c r="F55" s="38">
        <f>E55*2</f>
        <v>118800</v>
      </c>
    </row>
    <row r="56" spans="1:6" ht="15.75" x14ac:dyDescent="0.25">
      <c r="A56" s="9"/>
      <c r="B56" s="9"/>
      <c r="C56" s="24" t="s">
        <v>20</v>
      </c>
      <c r="D56" s="27"/>
      <c r="E56" s="8">
        <f>SUM(E54:E55)</f>
        <v>455400</v>
      </c>
      <c r="F56" s="38">
        <f>E56*2</f>
        <v>910800</v>
      </c>
    </row>
    <row r="57" spans="1:6" ht="15.75" x14ac:dyDescent="0.25">
      <c r="A57" s="9"/>
      <c r="B57" s="9"/>
      <c r="C57" s="28" t="s">
        <v>14</v>
      </c>
      <c r="D57" s="29"/>
      <c r="E57" s="7">
        <f>E56*18%</f>
        <v>81972</v>
      </c>
      <c r="F57" s="38">
        <f>F56*18%</f>
        <v>163944</v>
      </c>
    </row>
    <row r="58" spans="1:6" ht="15.75" x14ac:dyDescent="0.25">
      <c r="A58" s="9"/>
      <c r="B58" s="9"/>
      <c r="C58" s="28" t="s">
        <v>15</v>
      </c>
      <c r="D58" s="29"/>
      <c r="E58" s="7">
        <f>SUM(E56:E57)</f>
        <v>537372</v>
      </c>
      <c r="F58" s="38">
        <f>SUM(F56:F57)</f>
        <v>1074744</v>
      </c>
    </row>
    <row r="60" spans="1:6" s="43" customFormat="1" x14ac:dyDescent="0.25">
      <c r="A60" s="42"/>
      <c r="B60" s="41" t="s">
        <v>46</v>
      </c>
      <c r="C60" s="42"/>
      <c r="D60" s="42"/>
      <c r="E60" s="42"/>
      <c r="F60" s="42"/>
    </row>
    <row r="61" spans="1:6" x14ac:dyDescent="0.25">
      <c r="A61" s="6" t="s">
        <v>3</v>
      </c>
      <c r="B61" s="6" t="s">
        <v>4</v>
      </c>
      <c r="C61" s="6" t="s">
        <v>5</v>
      </c>
      <c r="D61" s="6" t="s">
        <v>16</v>
      </c>
      <c r="E61" s="6" t="s">
        <v>6</v>
      </c>
      <c r="F61" s="6" t="s">
        <v>21</v>
      </c>
    </row>
    <row r="62" spans="1:6" ht="15.75" x14ac:dyDescent="0.25">
      <c r="A62" s="9" t="s">
        <v>7</v>
      </c>
      <c r="B62" s="10" t="s">
        <v>44</v>
      </c>
      <c r="C62" s="11">
        <v>1</v>
      </c>
      <c r="D62" s="12">
        <v>35000</v>
      </c>
      <c r="E62" s="13">
        <v>35000</v>
      </c>
      <c r="F62" s="14"/>
    </row>
    <row r="63" spans="1:6" ht="15.75" x14ac:dyDescent="0.25">
      <c r="A63" s="9" t="s">
        <v>8</v>
      </c>
      <c r="B63" s="15" t="s">
        <v>47</v>
      </c>
      <c r="C63" s="11">
        <v>1</v>
      </c>
      <c r="D63" s="12">
        <v>57500</v>
      </c>
      <c r="E63" s="13">
        <v>58000</v>
      </c>
      <c r="F63" s="14"/>
    </row>
    <row r="64" spans="1:6" ht="31.5" x14ac:dyDescent="0.25">
      <c r="A64" s="9" t="s">
        <v>9</v>
      </c>
      <c r="B64" s="16" t="s">
        <v>48</v>
      </c>
      <c r="C64" s="11">
        <v>1</v>
      </c>
      <c r="D64" s="12">
        <v>13500</v>
      </c>
      <c r="E64" s="17">
        <v>14000</v>
      </c>
      <c r="F64" s="14"/>
    </row>
    <row r="65" spans="1:7" ht="15.75" x14ac:dyDescent="0.25">
      <c r="A65" s="9" t="s">
        <v>10</v>
      </c>
      <c r="B65" s="18"/>
      <c r="C65" s="11">
        <v>1</v>
      </c>
      <c r="D65" s="12">
        <v>7500</v>
      </c>
      <c r="E65" s="17">
        <v>7500</v>
      </c>
      <c r="F65" s="14"/>
    </row>
    <row r="66" spans="1:7" ht="15.75" x14ac:dyDescent="0.25">
      <c r="A66" s="9" t="s">
        <v>11</v>
      </c>
      <c r="B66" s="19" t="s">
        <v>73</v>
      </c>
      <c r="C66" s="11">
        <v>1</v>
      </c>
      <c r="D66" s="12">
        <v>37500</v>
      </c>
      <c r="E66" s="17">
        <v>39500</v>
      </c>
      <c r="F66" s="14"/>
    </row>
    <row r="67" spans="1:7" ht="15.75" x14ac:dyDescent="0.25">
      <c r="A67" s="9" t="s">
        <v>12</v>
      </c>
      <c r="B67" s="16" t="s">
        <v>49</v>
      </c>
      <c r="C67" s="11">
        <v>3</v>
      </c>
      <c r="D67" s="12">
        <v>18000</v>
      </c>
      <c r="E67" s="17">
        <f>D67*3</f>
        <v>54000</v>
      </c>
      <c r="F67" s="14"/>
    </row>
    <row r="68" spans="1:7" ht="15.75" x14ac:dyDescent="0.25">
      <c r="A68" s="9" t="s">
        <v>13</v>
      </c>
      <c r="B68" s="16" t="s">
        <v>33</v>
      </c>
      <c r="C68" s="11">
        <v>1</v>
      </c>
      <c r="D68" s="12">
        <v>35000</v>
      </c>
      <c r="E68" s="20">
        <v>35000</v>
      </c>
      <c r="F68" s="14"/>
      <c r="G68" s="43" t="s">
        <v>54</v>
      </c>
    </row>
    <row r="69" spans="1:7" ht="15.75" x14ac:dyDescent="0.25">
      <c r="A69" s="9" t="s">
        <v>37</v>
      </c>
      <c r="B69" s="19" t="s">
        <v>43</v>
      </c>
      <c r="C69" s="11">
        <v>1</v>
      </c>
      <c r="D69" s="12">
        <v>25000</v>
      </c>
      <c r="E69" s="20">
        <v>25000</v>
      </c>
      <c r="F69" s="14" t="s">
        <v>40</v>
      </c>
      <c r="G69" s="14" t="s">
        <v>53</v>
      </c>
    </row>
    <row r="70" spans="1:7" ht="15.75" x14ac:dyDescent="0.25">
      <c r="A70" s="9"/>
      <c r="B70" s="23"/>
      <c r="C70" s="24" t="s">
        <v>17</v>
      </c>
      <c r="D70" s="25"/>
      <c r="E70" s="8">
        <f>SUM(E62:E69)</f>
        <v>268000</v>
      </c>
      <c r="F70" s="38">
        <f>E70*2</f>
        <v>536000</v>
      </c>
      <c r="G70" s="38">
        <f>E70*30</f>
        <v>8040000</v>
      </c>
    </row>
    <row r="71" spans="1:7" ht="15.75" x14ac:dyDescent="0.25">
      <c r="A71" s="9"/>
      <c r="B71" s="23"/>
      <c r="C71" s="30">
        <v>0.15</v>
      </c>
      <c r="D71" s="25"/>
      <c r="E71" s="26">
        <f>E70*15%</f>
        <v>40200</v>
      </c>
      <c r="F71" s="38">
        <f>E71*2</f>
        <v>80400</v>
      </c>
      <c r="G71" s="38">
        <f>G70*15%</f>
        <v>1206000</v>
      </c>
    </row>
    <row r="72" spans="1:7" ht="15.75" x14ac:dyDescent="0.25">
      <c r="A72" s="9"/>
      <c r="B72" s="9"/>
      <c r="C72" s="24" t="s">
        <v>20</v>
      </c>
      <c r="D72" s="27"/>
      <c r="E72" s="8">
        <f>SUM(E70:E71)</f>
        <v>308200</v>
      </c>
      <c r="F72" s="38">
        <f>E72*2</f>
        <v>616400</v>
      </c>
      <c r="G72" s="38">
        <f>SUM(G70:G71)</f>
        <v>9246000</v>
      </c>
    </row>
    <row r="73" spans="1:7" ht="15.75" x14ac:dyDescent="0.25">
      <c r="A73" s="9"/>
      <c r="B73" s="9"/>
      <c r="C73" s="28" t="s">
        <v>14</v>
      </c>
      <c r="D73" s="29"/>
      <c r="E73" s="7">
        <f>E72*18%</f>
        <v>55476</v>
      </c>
      <c r="F73" s="38">
        <f>F72*18%</f>
        <v>110952</v>
      </c>
      <c r="G73" s="38">
        <f>G72*18%</f>
        <v>1664280</v>
      </c>
    </row>
    <row r="74" spans="1:7" ht="15.75" x14ac:dyDescent="0.25">
      <c r="A74" s="9"/>
      <c r="B74" s="9"/>
      <c r="C74" s="28" t="s">
        <v>15</v>
      </c>
      <c r="D74" s="29"/>
      <c r="E74" s="7">
        <f>SUM(E72:E73)</f>
        <v>363676</v>
      </c>
      <c r="F74" s="38">
        <f>SUM(F72:F73)</f>
        <v>727352</v>
      </c>
      <c r="G74" s="38">
        <f>SUM(G72:G73)</f>
        <v>10910280</v>
      </c>
    </row>
    <row r="76" spans="1:7" s="36" customFormat="1" x14ac:dyDescent="0.25">
      <c r="A76" s="44"/>
      <c r="B76" s="45" t="s">
        <v>86</v>
      </c>
      <c r="C76" s="44"/>
      <c r="D76" s="44"/>
      <c r="E76" s="44"/>
      <c r="F76" s="44"/>
    </row>
    <row r="77" spans="1:7" x14ac:dyDescent="0.25">
      <c r="A77" s="6" t="s">
        <v>3</v>
      </c>
      <c r="B77" s="6" t="s">
        <v>4</v>
      </c>
      <c r="C77" s="6" t="s">
        <v>5</v>
      </c>
      <c r="D77" s="6" t="s">
        <v>16</v>
      </c>
      <c r="E77" s="6" t="s">
        <v>6</v>
      </c>
      <c r="F77" s="6" t="s">
        <v>21</v>
      </c>
    </row>
    <row r="78" spans="1:7" ht="15.75" x14ac:dyDescent="0.25">
      <c r="A78" s="9" t="s">
        <v>7</v>
      </c>
      <c r="B78" s="10" t="s">
        <v>88</v>
      </c>
      <c r="C78" s="11">
        <v>1</v>
      </c>
      <c r="D78" s="12">
        <v>300000</v>
      </c>
      <c r="E78" s="13">
        <v>300000</v>
      </c>
      <c r="F78" s="14"/>
    </row>
    <row r="79" spans="1:7" ht="15.75" x14ac:dyDescent="0.25">
      <c r="A79" s="9" t="s">
        <v>8</v>
      </c>
      <c r="B79" s="55" t="s">
        <v>80</v>
      </c>
      <c r="C79" s="58">
        <v>1</v>
      </c>
      <c r="D79" s="59">
        <v>92000</v>
      </c>
      <c r="E79" s="60">
        <v>99000</v>
      </c>
      <c r="F79" s="14"/>
    </row>
    <row r="80" spans="1:7" ht="30" x14ac:dyDescent="0.25">
      <c r="A80" s="9" t="s">
        <v>9</v>
      </c>
      <c r="B80" s="56" t="s">
        <v>81</v>
      </c>
      <c r="C80" s="58">
        <v>1</v>
      </c>
      <c r="D80" s="59">
        <v>60300</v>
      </c>
      <c r="E80" s="60">
        <v>60500</v>
      </c>
      <c r="F80" s="14"/>
    </row>
    <row r="81" spans="1:6" ht="15.75" x14ac:dyDescent="0.25">
      <c r="A81" s="9" t="s">
        <v>10</v>
      </c>
      <c r="B81" s="56" t="s">
        <v>82</v>
      </c>
      <c r="C81" s="58">
        <v>1</v>
      </c>
      <c r="D81" s="59">
        <v>7500</v>
      </c>
      <c r="E81" s="60">
        <v>8000</v>
      </c>
      <c r="F81" s="14"/>
    </row>
    <row r="82" spans="1:6" ht="15.75" x14ac:dyDescent="0.25">
      <c r="A82" s="9" t="s">
        <v>11</v>
      </c>
      <c r="B82" s="57" t="s">
        <v>83</v>
      </c>
      <c r="C82" s="58">
        <v>2</v>
      </c>
      <c r="D82" s="59">
        <v>210000</v>
      </c>
      <c r="E82" s="60">
        <v>420000</v>
      </c>
      <c r="F82" s="14"/>
    </row>
    <row r="83" spans="1:6" ht="15.75" x14ac:dyDescent="0.25">
      <c r="A83" s="9" t="s">
        <v>12</v>
      </c>
      <c r="B83" s="56" t="s">
        <v>84</v>
      </c>
      <c r="C83" s="58">
        <v>2</v>
      </c>
      <c r="D83" s="59">
        <v>30600</v>
      </c>
      <c r="E83" s="60">
        <v>62000</v>
      </c>
      <c r="F83" s="14"/>
    </row>
    <row r="84" spans="1:6" ht="15.75" x14ac:dyDescent="0.25">
      <c r="A84" s="9" t="s">
        <v>79</v>
      </c>
      <c r="B84" s="16" t="s">
        <v>87</v>
      </c>
      <c r="C84" s="11">
        <v>36</v>
      </c>
      <c r="D84" s="12">
        <v>81000</v>
      </c>
      <c r="E84" s="17">
        <f>D84*36</f>
        <v>2916000</v>
      </c>
      <c r="F84" s="14"/>
    </row>
    <row r="85" spans="1:6" ht="15.75" x14ac:dyDescent="0.25">
      <c r="A85" s="9"/>
      <c r="B85" s="16" t="s">
        <v>77</v>
      </c>
      <c r="C85" s="11">
        <v>1</v>
      </c>
      <c r="D85" s="12">
        <v>100000</v>
      </c>
      <c r="E85" s="17">
        <v>100000</v>
      </c>
      <c r="F85" s="14"/>
    </row>
    <row r="86" spans="1:6" ht="15.75" x14ac:dyDescent="0.25">
      <c r="A86" s="9" t="s">
        <v>13</v>
      </c>
      <c r="B86" s="16" t="s">
        <v>85</v>
      </c>
      <c r="C86" s="11">
        <v>1</v>
      </c>
      <c r="D86" s="12">
        <v>42000</v>
      </c>
      <c r="E86" s="20">
        <v>42000</v>
      </c>
      <c r="F86" s="14"/>
    </row>
    <row r="87" spans="1:6" ht="15.75" x14ac:dyDescent="0.25">
      <c r="A87" s="9" t="s">
        <v>37</v>
      </c>
      <c r="B87" s="19"/>
      <c r="C87" s="11">
        <v>1</v>
      </c>
      <c r="D87" s="12"/>
      <c r="E87" s="20"/>
      <c r="F87" s="14" t="s">
        <v>40</v>
      </c>
    </row>
    <row r="88" spans="1:6" ht="15.75" x14ac:dyDescent="0.25">
      <c r="A88" s="9"/>
      <c r="B88" s="23"/>
      <c r="C88" s="24" t="s">
        <v>17</v>
      </c>
      <c r="D88" s="25"/>
      <c r="E88" s="8">
        <f>SUM(E78:E87)</f>
        <v>4007500</v>
      </c>
      <c r="F88" s="38">
        <f>E88*2</f>
        <v>8015000</v>
      </c>
    </row>
    <row r="89" spans="1:6" ht="15.75" x14ac:dyDescent="0.25">
      <c r="A89" s="9"/>
      <c r="B89" s="23"/>
      <c r="C89" s="30">
        <v>0.15</v>
      </c>
      <c r="D89" s="25"/>
      <c r="E89" s="26">
        <f>E88*15%</f>
        <v>601125</v>
      </c>
      <c r="F89" s="38">
        <f>E89*2</f>
        <v>1202250</v>
      </c>
    </row>
    <row r="90" spans="1:6" ht="15.75" x14ac:dyDescent="0.25">
      <c r="A90" s="9"/>
      <c r="B90" s="9"/>
      <c r="C90" s="24" t="s">
        <v>20</v>
      </c>
      <c r="D90" s="27"/>
      <c r="E90" s="8">
        <f>SUM(E88:E89)</f>
        <v>4608625</v>
      </c>
      <c r="F90" s="38">
        <f>E90*2</f>
        <v>9217250</v>
      </c>
    </row>
    <row r="91" spans="1:6" ht="15.75" x14ac:dyDescent="0.25">
      <c r="A91" s="9"/>
      <c r="B91" s="9"/>
      <c r="C91" s="28" t="s">
        <v>14</v>
      </c>
      <c r="D91" s="29"/>
      <c r="E91" s="7">
        <f>E90*18%</f>
        <v>829552.5</v>
      </c>
      <c r="F91" s="38">
        <f>F90*18%</f>
        <v>1659105</v>
      </c>
    </row>
    <row r="92" spans="1:6" ht="15.75" x14ac:dyDescent="0.25">
      <c r="A92" s="9"/>
      <c r="B92" s="9"/>
      <c r="C92" s="28" t="s">
        <v>15</v>
      </c>
      <c r="D92" s="29"/>
      <c r="E92" s="7">
        <f>SUM(E90:E91)</f>
        <v>5438177.5</v>
      </c>
      <c r="F92" s="38">
        <f>SUM(F90:F91)</f>
        <v>10876355</v>
      </c>
    </row>
    <row r="94" spans="1:6" x14ac:dyDescent="0.25">
      <c r="A94" s="44"/>
      <c r="B94" s="45" t="s">
        <v>50</v>
      </c>
      <c r="C94" s="44"/>
      <c r="D94" s="44"/>
      <c r="E94" s="44"/>
      <c r="F94" s="44"/>
    </row>
    <row r="95" spans="1:6" x14ac:dyDescent="0.25">
      <c r="A95" s="6" t="s">
        <v>3</v>
      </c>
      <c r="B95" s="6" t="s">
        <v>4</v>
      </c>
      <c r="C95" s="6" t="s">
        <v>5</v>
      </c>
      <c r="D95" s="6" t="s">
        <v>16</v>
      </c>
      <c r="E95" s="6" t="s">
        <v>6</v>
      </c>
      <c r="F95" s="6" t="s">
        <v>21</v>
      </c>
    </row>
    <row r="96" spans="1:6" ht="15.75" x14ac:dyDescent="0.25">
      <c r="A96" s="9" t="s">
        <v>7</v>
      </c>
      <c r="B96" s="10" t="s">
        <v>89</v>
      </c>
      <c r="C96" s="11">
        <v>1</v>
      </c>
      <c r="D96" s="12">
        <v>99000</v>
      </c>
      <c r="E96" s="13">
        <v>99000</v>
      </c>
      <c r="F96" s="14"/>
    </row>
    <row r="97" spans="1:6" ht="15.75" x14ac:dyDescent="0.25">
      <c r="A97" s="9" t="s">
        <v>8</v>
      </c>
      <c r="B97" s="55" t="s">
        <v>80</v>
      </c>
      <c r="C97" s="58">
        <v>1</v>
      </c>
      <c r="D97" s="59">
        <v>92000</v>
      </c>
      <c r="E97" s="60">
        <v>99000</v>
      </c>
      <c r="F97" s="14"/>
    </row>
    <row r="98" spans="1:6" ht="30" x14ac:dyDescent="0.25">
      <c r="A98" s="9" t="s">
        <v>9</v>
      </c>
      <c r="B98" s="56" t="s">
        <v>81</v>
      </c>
      <c r="C98" s="58">
        <v>1</v>
      </c>
      <c r="D98" s="59">
        <v>60300</v>
      </c>
      <c r="E98" s="60">
        <v>60500</v>
      </c>
      <c r="F98" s="14"/>
    </row>
    <row r="99" spans="1:6" ht="15.75" x14ac:dyDescent="0.25">
      <c r="A99" s="9" t="s">
        <v>10</v>
      </c>
      <c r="B99" s="56" t="s">
        <v>82</v>
      </c>
      <c r="C99" s="58">
        <v>1</v>
      </c>
      <c r="D99" s="59">
        <v>7500</v>
      </c>
      <c r="E99" s="60">
        <v>7500</v>
      </c>
      <c r="F99" s="14"/>
    </row>
    <row r="100" spans="1:6" ht="15.75" x14ac:dyDescent="0.25">
      <c r="A100" s="9" t="s">
        <v>11</v>
      </c>
      <c r="B100" s="57" t="s">
        <v>83</v>
      </c>
      <c r="C100" s="58">
        <v>2</v>
      </c>
      <c r="D100" s="59">
        <v>210000</v>
      </c>
      <c r="E100" s="60">
        <v>210000</v>
      </c>
      <c r="F100" s="14"/>
    </row>
    <row r="101" spans="1:6" ht="15.75" x14ac:dyDescent="0.25">
      <c r="A101" s="9" t="s">
        <v>12</v>
      </c>
      <c r="B101" s="56" t="s">
        <v>84</v>
      </c>
      <c r="C101" s="58">
        <v>2</v>
      </c>
      <c r="D101" s="59">
        <v>30600</v>
      </c>
      <c r="E101" s="60">
        <v>62000</v>
      </c>
      <c r="F101" s="14"/>
    </row>
    <row r="102" spans="1:6" ht="15.75" x14ac:dyDescent="0.25">
      <c r="A102" s="9" t="s">
        <v>79</v>
      </c>
      <c r="B102" s="16" t="s">
        <v>74</v>
      </c>
      <c r="C102" s="11">
        <v>7</v>
      </c>
      <c r="D102" s="12">
        <v>81000</v>
      </c>
      <c r="E102" s="17">
        <f>D102*7</f>
        <v>567000</v>
      </c>
      <c r="F102" s="14"/>
    </row>
    <row r="103" spans="1:6" ht="15.75" x14ac:dyDescent="0.25">
      <c r="A103" s="9"/>
      <c r="B103" s="16" t="s">
        <v>77</v>
      </c>
      <c r="C103" s="11">
        <v>1</v>
      </c>
      <c r="D103" s="12">
        <v>80000</v>
      </c>
      <c r="E103" s="17">
        <v>80000</v>
      </c>
      <c r="F103" s="14"/>
    </row>
    <row r="104" spans="1:6" ht="15.75" x14ac:dyDescent="0.25">
      <c r="A104" s="9" t="s">
        <v>13</v>
      </c>
      <c r="B104" s="16" t="s">
        <v>90</v>
      </c>
      <c r="C104" s="11">
        <v>1</v>
      </c>
      <c r="D104" s="12">
        <v>35000</v>
      </c>
      <c r="E104" s="20">
        <v>35000</v>
      </c>
      <c r="F104" s="14"/>
    </row>
    <row r="105" spans="1:6" ht="15.75" x14ac:dyDescent="0.25">
      <c r="A105" s="9" t="s">
        <v>37</v>
      </c>
      <c r="B105" s="19"/>
      <c r="C105" s="11">
        <v>1</v>
      </c>
      <c r="D105" s="12"/>
      <c r="E105" s="20"/>
      <c r="F105" s="14" t="s">
        <v>52</v>
      </c>
    </row>
    <row r="106" spans="1:6" ht="15.75" x14ac:dyDescent="0.25">
      <c r="A106" s="9"/>
      <c r="B106" s="23"/>
      <c r="C106" s="24" t="s">
        <v>17</v>
      </c>
      <c r="D106" s="25"/>
      <c r="E106" s="8">
        <f>SUM(E96:E105)</f>
        <v>1220000</v>
      </c>
      <c r="F106" s="38">
        <f>E106*28</f>
        <v>34160000</v>
      </c>
    </row>
    <row r="107" spans="1:6" ht="15.75" x14ac:dyDescent="0.25">
      <c r="A107" s="9"/>
      <c r="B107" s="23"/>
      <c r="C107" s="30">
        <v>0.15</v>
      </c>
      <c r="D107" s="25"/>
      <c r="E107" s="26">
        <f>E106*15%</f>
        <v>183000</v>
      </c>
      <c r="F107" s="38">
        <f>F106*15%</f>
        <v>5124000</v>
      </c>
    </row>
    <row r="108" spans="1:6" ht="15.75" x14ac:dyDescent="0.25">
      <c r="A108" s="9"/>
      <c r="B108" s="9"/>
      <c r="C108" s="24" t="s">
        <v>20</v>
      </c>
      <c r="D108" s="27"/>
      <c r="E108" s="8">
        <f>SUM(E106:E107)</f>
        <v>1403000</v>
      </c>
      <c r="F108" s="38">
        <f>SUM(F106:F107)</f>
        <v>39284000</v>
      </c>
    </row>
    <row r="109" spans="1:6" ht="15.75" x14ac:dyDescent="0.25">
      <c r="A109" s="9"/>
      <c r="B109" s="9"/>
      <c r="C109" s="28" t="s">
        <v>14</v>
      </c>
      <c r="D109" s="29"/>
      <c r="E109" s="7">
        <f>E108*18%</f>
        <v>252540</v>
      </c>
      <c r="F109" s="38">
        <f>F108*18%</f>
        <v>7071120</v>
      </c>
    </row>
    <row r="110" spans="1:6" ht="15.75" x14ac:dyDescent="0.25">
      <c r="A110" s="9"/>
      <c r="B110" s="9"/>
      <c r="C110" s="28" t="s">
        <v>15</v>
      </c>
      <c r="D110" s="29"/>
      <c r="E110" s="7">
        <f>SUM(E108:E109)</f>
        <v>1655540</v>
      </c>
      <c r="F110" s="38">
        <f>SUM(F108:F109)</f>
        <v>46355120</v>
      </c>
    </row>
    <row r="112" spans="1:6" x14ac:dyDescent="0.25">
      <c r="A112" s="44"/>
      <c r="B112" s="45" t="s">
        <v>51</v>
      </c>
      <c r="C112" s="44"/>
      <c r="D112" s="44"/>
      <c r="E112" s="44"/>
      <c r="F112" s="44"/>
    </row>
    <row r="113" spans="1:6" x14ac:dyDescent="0.25">
      <c r="A113" s="6" t="s">
        <v>3</v>
      </c>
      <c r="B113" s="6" t="s">
        <v>4</v>
      </c>
      <c r="C113" s="6" t="s">
        <v>5</v>
      </c>
      <c r="D113" s="6" t="s">
        <v>16</v>
      </c>
      <c r="E113" s="6" t="s">
        <v>6</v>
      </c>
      <c r="F113" s="6" t="s">
        <v>21</v>
      </c>
    </row>
    <row r="114" spans="1:6" ht="15.75" x14ac:dyDescent="0.25">
      <c r="A114" s="9" t="s">
        <v>7</v>
      </c>
      <c r="B114" s="10" t="s">
        <v>78</v>
      </c>
      <c r="C114" s="11">
        <v>1</v>
      </c>
      <c r="D114" s="12">
        <v>2900</v>
      </c>
      <c r="E114" s="13">
        <v>450000</v>
      </c>
      <c r="F114" s="14"/>
    </row>
    <row r="115" spans="1:6" ht="15.75" x14ac:dyDescent="0.25">
      <c r="A115" s="9" t="s">
        <v>8</v>
      </c>
      <c r="B115" s="55" t="s">
        <v>80</v>
      </c>
      <c r="C115" s="58">
        <v>1</v>
      </c>
      <c r="D115" s="59">
        <v>99000</v>
      </c>
      <c r="E115" s="60">
        <v>99000</v>
      </c>
      <c r="F115" s="14"/>
    </row>
    <row r="116" spans="1:6" ht="30" x14ac:dyDescent="0.25">
      <c r="A116" s="9" t="s">
        <v>9</v>
      </c>
      <c r="B116" s="56" t="s">
        <v>81</v>
      </c>
      <c r="C116" s="58">
        <v>1</v>
      </c>
      <c r="D116" s="59">
        <v>60300</v>
      </c>
      <c r="E116" s="60">
        <v>60500</v>
      </c>
      <c r="F116" s="14"/>
    </row>
    <row r="117" spans="1:6" ht="15.75" x14ac:dyDescent="0.25">
      <c r="A117" s="9" t="s">
        <v>10</v>
      </c>
      <c r="B117" s="56" t="s">
        <v>82</v>
      </c>
      <c r="C117" s="58">
        <v>1</v>
      </c>
      <c r="D117" s="59">
        <v>7500</v>
      </c>
      <c r="E117" s="60">
        <v>7500</v>
      </c>
      <c r="F117" s="14"/>
    </row>
    <row r="118" spans="1:6" ht="15.75" x14ac:dyDescent="0.25">
      <c r="A118" s="9" t="s">
        <v>11</v>
      </c>
      <c r="B118" s="57" t="s">
        <v>83</v>
      </c>
      <c r="C118" s="58">
        <v>2</v>
      </c>
      <c r="D118" s="59">
        <v>210000</v>
      </c>
      <c r="E118" s="60">
        <v>420000</v>
      </c>
      <c r="F118" s="14"/>
    </row>
    <row r="119" spans="1:6" ht="15.75" x14ac:dyDescent="0.25">
      <c r="A119" s="9" t="s">
        <v>12</v>
      </c>
      <c r="B119" s="56" t="s">
        <v>84</v>
      </c>
      <c r="C119" s="58">
        <v>2</v>
      </c>
      <c r="D119" s="59">
        <v>30600</v>
      </c>
      <c r="E119" s="60">
        <v>62000</v>
      </c>
      <c r="F119" s="14"/>
    </row>
    <row r="120" spans="1:6" ht="15.75" x14ac:dyDescent="0.25">
      <c r="A120" s="9" t="s">
        <v>79</v>
      </c>
      <c r="B120" s="16" t="s">
        <v>74</v>
      </c>
      <c r="C120" s="11">
        <v>44</v>
      </c>
      <c r="D120" s="12">
        <v>81000</v>
      </c>
      <c r="E120" s="17">
        <f>D120*44</f>
        <v>3564000</v>
      </c>
      <c r="F120" s="14"/>
    </row>
    <row r="121" spans="1:6" ht="15.75" x14ac:dyDescent="0.25">
      <c r="A121" s="9" t="s">
        <v>13</v>
      </c>
      <c r="B121" s="16" t="s">
        <v>85</v>
      </c>
      <c r="C121" s="11">
        <v>1</v>
      </c>
      <c r="D121" s="12">
        <v>40000</v>
      </c>
      <c r="E121" s="20">
        <v>42000</v>
      </c>
      <c r="F121" s="14"/>
    </row>
    <row r="122" spans="1:6" ht="15.75" x14ac:dyDescent="0.25">
      <c r="A122" s="9" t="s">
        <v>37</v>
      </c>
      <c r="B122" s="19" t="s">
        <v>77</v>
      </c>
      <c r="C122" s="11">
        <v>1</v>
      </c>
      <c r="D122" s="12">
        <v>80000</v>
      </c>
      <c r="E122" s="20">
        <v>100000</v>
      </c>
      <c r="F122" s="14" t="s">
        <v>40</v>
      </c>
    </row>
    <row r="123" spans="1:6" ht="15.75" x14ac:dyDescent="0.25">
      <c r="A123" s="9"/>
      <c r="B123" s="23"/>
      <c r="C123" s="24" t="s">
        <v>17</v>
      </c>
      <c r="D123" s="25"/>
      <c r="E123" s="8">
        <f>SUM(E114:E122)</f>
        <v>4805000</v>
      </c>
      <c r="F123" s="38">
        <f>E123*2</f>
        <v>9610000</v>
      </c>
    </row>
    <row r="124" spans="1:6" ht="15.75" x14ac:dyDescent="0.25">
      <c r="A124" s="9"/>
      <c r="B124" s="23"/>
      <c r="C124" s="30">
        <v>0.15</v>
      </c>
      <c r="D124" s="25"/>
      <c r="E124" s="26">
        <f>E123*15%</f>
        <v>720750</v>
      </c>
      <c r="F124" s="38">
        <f>E124*2</f>
        <v>1441500</v>
      </c>
    </row>
    <row r="125" spans="1:6" ht="15.75" x14ac:dyDescent="0.25">
      <c r="A125" s="9"/>
      <c r="B125" s="9"/>
      <c r="C125" s="24" t="s">
        <v>20</v>
      </c>
      <c r="D125" s="27"/>
      <c r="E125" s="8">
        <f>SUM(E123:E124)</f>
        <v>5525750</v>
      </c>
      <c r="F125" s="38">
        <f>E125*2</f>
        <v>11051500</v>
      </c>
    </row>
    <row r="126" spans="1:6" ht="15.75" x14ac:dyDescent="0.25">
      <c r="A126" s="9"/>
      <c r="B126" s="9"/>
      <c r="C126" s="28" t="s">
        <v>14</v>
      </c>
      <c r="D126" s="29"/>
      <c r="E126" s="7">
        <f>E125*18%</f>
        <v>994635</v>
      </c>
      <c r="F126" s="38">
        <f>F125*18%</f>
        <v>1989270</v>
      </c>
    </row>
    <row r="127" spans="1:6" ht="15.75" x14ac:dyDescent="0.25">
      <c r="A127" s="9"/>
      <c r="B127" s="9"/>
      <c r="C127" s="28" t="s">
        <v>15</v>
      </c>
      <c r="D127" s="29"/>
      <c r="E127" s="7">
        <f>SUM(E125:E126)</f>
        <v>6520385</v>
      </c>
      <c r="F127" s="38">
        <f>SUM(F125:F126)</f>
        <v>13040770</v>
      </c>
    </row>
    <row r="130" spans="1:6" s="34" customFormat="1" x14ac:dyDescent="0.25">
      <c r="A130" s="46"/>
      <c r="B130" s="47" t="s">
        <v>55</v>
      </c>
      <c r="C130" s="46"/>
      <c r="D130" s="46"/>
      <c r="E130" s="46"/>
      <c r="F130" s="46"/>
    </row>
    <row r="131" spans="1:6" x14ac:dyDescent="0.25">
      <c r="A131" s="6" t="s">
        <v>3</v>
      </c>
      <c r="B131" s="6" t="s">
        <v>4</v>
      </c>
      <c r="C131" s="6" t="s">
        <v>5</v>
      </c>
      <c r="D131" s="6" t="s">
        <v>16</v>
      </c>
      <c r="E131" s="6" t="s">
        <v>6</v>
      </c>
      <c r="F131" s="6" t="s">
        <v>21</v>
      </c>
    </row>
    <row r="132" spans="1:6" ht="15.75" x14ac:dyDescent="0.25">
      <c r="A132" s="9" t="s">
        <v>7</v>
      </c>
      <c r="B132" s="10" t="s">
        <v>60</v>
      </c>
      <c r="C132" s="11">
        <v>1</v>
      </c>
      <c r="D132" s="12">
        <v>80000</v>
      </c>
      <c r="E132" s="13">
        <v>80000</v>
      </c>
      <c r="F132" s="14"/>
    </row>
    <row r="133" spans="1:6" ht="15.75" x14ac:dyDescent="0.25">
      <c r="A133" s="9" t="s">
        <v>8</v>
      </c>
      <c r="B133" s="15" t="s">
        <v>28</v>
      </c>
      <c r="C133" s="11">
        <v>1</v>
      </c>
      <c r="D133" s="12">
        <v>65500</v>
      </c>
      <c r="E133" s="13">
        <v>66000</v>
      </c>
      <c r="F133" s="14"/>
    </row>
    <row r="134" spans="1:6" ht="34.5" customHeight="1" x14ac:dyDescent="0.25">
      <c r="A134" s="9" t="s">
        <v>9</v>
      </c>
      <c r="B134" s="16" t="s">
        <v>57</v>
      </c>
      <c r="C134" s="11">
        <v>1</v>
      </c>
      <c r="D134" s="12"/>
      <c r="E134" s="17">
        <v>160000</v>
      </c>
      <c r="F134" s="14"/>
    </row>
    <row r="135" spans="1:6" ht="15.75" x14ac:dyDescent="0.25">
      <c r="A135" s="9" t="s">
        <v>10</v>
      </c>
      <c r="B135" s="18" t="s">
        <v>61</v>
      </c>
      <c r="C135" s="11">
        <v>1</v>
      </c>
      <c r="D135" s="12">
        <v>7500</v>
      </c>
      <c r="E135" s="17">
        <v>7500</v>
      </c>
      <c r="F135" s="14"/>
    </row>
    <row r="136" spans="1:6" ht="15.75" x14ac:dyDescent="0.25">
      <c r="A136" s="9" t="s">
        <v>11</v>
      </c>
      <c r="B136" s="19" t="s">
        <v>58</v>
      </c>
      <c r="C136" s="11">
        <v>1</v>
      </c>
      <c r="D136" s="12">
        <v>220000</v>
      </c>
      <c r="E136" s="17">
        <v>220000</v>
      </c>
      <c r="F136" s="14"/>
    </row>
    <row r="137" spans="1:6" ht="15.75" x14ac:dyDescent="0.25">
      <c r="A137" s="9" t="s">
        <v>12</v>
      </c>
      <c r="B137" s="16" t="s">
        <v>49</v>
      </c>
      <c r="C137" s="11">
        <v>3</v>
      </c>
      <c r="D137" s="12">
        <v>18000</v>
      </c>
      <c r="E137" s="17">
        <f>D137*3</f>
        <v>54000</v>
      </c>
      <c r="F137" s="14"/>
    </row>
    <row r="138" spans="1:6" ht="15.75" x14ac:dyDescent="0.25">
      <c r="A138" s="9"/>
      <c r="B138" s="16" t="s">
        <v>59</v>
      </c>
      <c r="C138" s="11">
        <v>1</v>
      </c>
      <c r="D138" s="12">
        <v>80000</v>
      </c>
      <c r="E138" s="17">
        <v>80000</v>
      </c>
      <c r="F138" s="14"/>
    </row>
    <row r="139" spans="1:6" ht="15.75" x14ac:dyDescent="0.25">
      <c r="A139" s="9" t="s">
        <v>13</v>
      </c>
      <c r="B139" s="16" t="s">
        <v>33</v>
      </c>
      <c r="C139" s="11">
        <v>1</v>
      </c>
      <c r="D139" s="12">
        <v>0</v>
      </c>
      <c r="E139" s="20">
        <v>0</v>
      </c>
      <c r="F139" s="14"/>
    </row>
    <row r="140" spans="1:6" ht="15.75" x14ac:dyDescent="0.25">
      <c r="A140" s="9" t="s">
        <v>37</v>
      </c>
      <c r="B140" s="19"/>
      <c r="C140" s="11">
        <v>1</v>
      </c>
      <c r="D140" s="12"/>
      <c r="E140" s="20"/>
      <c r="F140" s="14" t="s">
        <v>40</v>
      </c>
    </row>
    <row r="141" spans="1:6" ht="15.75" x14ac:dyDescent="0.25">
      <c r="A141" s="9"/>
      <c r="B141" s="23"/>
      <c r="C141" s="24" t="s">
        <v>17</v>
      </c>
      <c r="D141" s="25"/>
      <c r="E141" s="8">
        <f>SUM(E132:E140)</f>
        <v>667500</v>
      </c>
      <c r="F141" s="38">
        <f>E141*2</f>
        <v>1335000</v>
      </c>
    </row>
    <row r="142" spans="1:6" ht="15.75" x14ac:dyDescent="0.25">
      <c r="A142" s="9"/>
      <c r="B142" s="23"/>
      <c r="C142" s="30">
        <v>0.15</v>
      </c>
      <c r="D142" s="25"/>
      <c r="E142" s="26">
        <f>E141*15%</f>
        <v>100125</v>
      </c>
      <c r="F142" s="38">
        <f>E142*2</f>
        <v>200250</v>
      </c>
    </row>
    <row r="143" spans="1:6" ht="15.75" x14ac:dyDescent="0.25">
      <c r="A143" s="9"/>
      <c r="B143" s="9"/>
      <c r="C143" s="24" t="s">
        <v>20</v>
      </c>
      <c r="D143" s="27"/>
      <c r="E143" s="8">
        <f>SUM(E141:E142)</f>
        <v>767625</v>
      </c>
      <c r="F143" s="38">
        <f>E143*2</f>
        <v>1535250</v>
      </c>
    </row>
    <row r="144" spans="1:6" ht="15.75" x14ac:dyDescent="0.25">
      <c r="A144" s="9"/>
      <c r="B144" s="9"/>
      <c r="C144" s="28" t="s">
        <v>14</v>
      </c>
      <c r="D144" s="29"/>
      <c r="E144" s="7">
        <f>E143*18%</f>
        <v>138172.5</v>
      </c>
      <c r="F144" s="38">
        <f>F143*18%</f>
        <v>276345</v>
      </c>
    </row>
    <row r="145" spans="1:6" ht="15.75" x14ac:dyDescent="0.25">
      <c r="A145" s="9"/>
      <c r="B145" s="9"/>
      <c r="C145" s="28" t="s">
        <v>15</v>
      </c>
      <c r="D145" s="29"/>
      <c r="E145" s="7">
        <f>SUM(E143:E144)</f>
        <v>905797.5</v>
      </c>
      <c r="F145" s="38">
        <f>SUM(F143:F144)</f>
        <v>1811595</v>
      </c>
    </row>
    <row r="148" spans="1:6" x14ac:dyDescent="0.25">
      <c r="A148" s="46"/>
      <c r="B148" s="47" t="s">
        <v>56</v>
      </c>
      <c r="C148" s="46"/>
      <c r="D148" s="46"/>
      <c r="E148" s="46"/>
      <c r="F148" s="46"/>
    </row>
    <row r="149" spans="1:6" x14ac:dyDescent="0.25">
      <c r="A149" s="6" t="s">
        <v>3</v>
      </c>
      <c r="B149" s="6" t="s">
        <v>4</v>
      </c>
      <c r="C149" s="6" t="s">
        <v>5</v>
      </c>
      <c r="D149" s="6" t="s">
        <v>16</v>
      </c>
      <c r="E149" s="6" t="s">
        <v>6</v>
      </c>
      <c r="F149" s="6" t="s">
        <v>21</v>
      </c>
    </row>
    <row r="150" spans="1:6" ht="15.75" x14ac:dyDescent="0.25">
      <c r="A150" s="9" t="s">
        <v>7</v>
      </c>
      <c r="B150" s="10" t="s">
        <v>44</v>
      </c>
      <c r="C150" s="11">
        <v>1</v>
      </c>
      <c r="D150" s="12">
        <v>80000</v>
      </c>
      <c r="E150" s="13">
        <v>99000</v>
      </c>
      <c r="F150" s="14"/>
    </row>
    <row r="151" spans="1:6" ht="15.75" x14ac:dyDescent="0.25">
      <c r="A151" s="9" t="s">
        <v>8</v>
      </c>
      <c r="B151" s="15" t="s">
        <v>62</v>
      </c>
      <c r="C151" s="11">
        <v>1</v>
      </c>
      <c r="D151" s="12">
        <v>58500</v>
      </c>
      <c r="E151" s="13">
        <v>59000</v>
      </c>
      <c r="F151" s="14"/>
    </row>
    <row r="152" spans="1:6" ht="31.5" x14ac:dyDescent="0.25">
      <c r="A152" s="9" t="s">
        <v>9</v>
      </c>
      <c r="B152" s="16" t="s">
        <v>63</v>
      </c>
      <c r="C152" s="11">
        <v>1</v>
      </c>
      <c r="D152" s="12">
        <v>36000</v>
      </c>
      <c r="E152" s="17">
        <v>36000</v>
      </c>
      <c r="F152" s="14"/>
    </row>
    <row r="153" spans="1:6" ht="15.75" x14ac:dyDescent="0.25">
      <c r="A153" s="9" t="s">
        <v>10</v>
      </c>
      <c r="B153" s="18"/>
      <c r="C153" s="11">
        <v>1</v>
      </c>
      <c r="D153" s="12">
        <v>7500</v>
      </c>
      <c r="E153" s="17">
        <v>7500</v>
      </c>
      <c r="F153" s="14"/>
    </row>
    <row r="154" spans="1:6" ht="15.75" x14ac:dyDescent="0.25">
      <c r="A154" s="9" t="s">
        <v>11</v>
      </c>
      <c r="B154" s="19" t="s">
        <v>64</v>
      </c>
      <c r="C154" s="11">
        <v>1</v>
      </c>
      <c r="D154" s="12">
        <v>15500</v>
      </c>
      <c r="E154" s="17">
        <v>16000</v>
      </c>
      <c r="F154" s="14"/>
    </row>
    <row r="155" spans="1:6" ht="15.75" x14ac:dyDescent="0.25">
      <c r="A155" s="9" t="s">
        <v>12</v>
      </c>
      <c r="B155" s="16" t="s">
        <v>24</v>
      </c>
      <c r="C155" s="11">
        <v>2</v>
      </c>
      <c r="D155" s="12">
        <v>31000</v>
      </c>
      <c r="E155" s="17">
        <v>62000</v>
      </c>
      <c r="F155" s="14"/>
    </row>
    <row r="156" spans="1:6" ht="15.75" x14ac:dyDescent="0.25">
      <c r="A156" s="9"/>
      <c r="B156" s="16" t="s">
        <v>65</v>
      </c>
      <c r="C156" s="11">
        <v>1</v>
      </c>
      <c r="D156" s="12">
        <v>70000</v>
      </c>
      <c r="E156" s="17">
        <v>70000</v>
      </c>
      <c r="F156" s="14"/>
    </row>
    <row r="157" spans="1:6" ht="15.75" x14ac:dyDescent="0.25">
      <c r="A157" s="9" t="s">
        <v>13</v>
      </c>
      <c r="B157" s="16" t="s">
        <v>33</v>
      </c>
      <c r="C157" s="11">
        <v>1</v>
      </c>
      <c r="D157" s="12">
        <v>0</v>
      </c>
      <c r="E157" s="20">
        <v>0</v>
      </c>
      <c r="F157" s="14"/>
    </row>
    <row r="158" spans="1:6" ht="15.75" x14ac:dyDescent="0.25">
      <c r="A158" s="9" t="s">
        <v>37</v>
      </c>
      <c r="B158" s="19"/>
      <c r="C158" s="11"/>
      <c r="D158" s="12"/>
      <c r="E158" s="20"/>
      <c r="F158" s="14" t="s">
        <v>40</v>
      </c>
    </row>
    <row r="159" spans="1:6" ht="15.75" x14ac:dyDescent="0.25">
      <c r="A159" s="9"/>
      <c r="B159" s="23"/>
      <c r="C159" s="24" t="s">
        <v>17</v>
      </c>
      <c r="D159" s="25"/>
      <c r="E159" s="8">
        <f>SUM(E150:E158)</f>
        <v>349500</v>
      </c>
      <c r="F159" s="38">
        <f>E159*2</f>
        <v>699000</v>
      </c>
    </row>
    <row r="160" spans="1:6" ht="15.75" x14ac:dyDescent="0.25">
      <c r="A160" s="9"/>
      <c r="B160" s="23"/>
      <c r="C160" s="30">
        <v>0.15</v>
      </c>
      <c r="D160" s="25"/>
      <c r="E160" s="26">
        <f>E159*15%</f>
        <v>52425</v>
      </c>
      <c r="F160" s="38">
        <f>E160*2</f>
        <v>104850</v>
      </c>
    </row>
    <row r="161" spans="1:6" ht="15.75" x14ac:dyDescent="0.25">
      <c r="A161" s="9"/>
      <c r="B161" s="9"/>
      <c r="C161" s="24" t="s">
        <v>20</v>
      </c>
      <c r="D161" s="27"/>
      <c r="E161" s="8">
        <f>SUM(E159:E160)</f>
        <v>401925</v>
      </c>
      <c r="F161" s="38">
        <f>E161*2</f>
        <v>803850</v>
      </c>
    </row>
    <row r="162" spans="1:6" ht="15.75" x14ac:dyDescent="0.25">
      <c r="A162" s="9"/>
      <c r="B162" s="9"/>
      <c r="C162" s="28" t="s">
        <v>14</v>
      </c>
      <c r="D162" s="29"/>
      <c r="E162" s="7">
        <f>E161*18%</f>
        <v>72346.5</v>
      </c>
      <c r="F162" s="38">
        <f>F161*18%</f>
        <v>144693</v>
      </c>
    </row>
    <row r="163" spans="1:6" ht="15.75" x14ac:dyDescent="0.25">
      <c r="A163" s="9"/>
      <c r="B163" s="9"/>
      <c r="C163" s="28" t="s">
        <v>15</v>
      </c>
      <c r="D163" s="29"/>
      <c r="E163" s="7">
        <f>SUM(E161:E162)</f>
        <v>474271.5</v>
      </c>
      <c r="F163" s="38">
        <f>SUM(F161:F162)</f>
        <v>948543</v>
      </c>
    </row>
    <row r="166" spans="1:6" s="50" customFormat="1" x14ac:dyDescent="0.25">
      <c r="A166" s="48"/>
      <c r="B166" s="49" t="s">
        <v>66</v>
      </c>
      <c r="C166" s="48"/>
      <c r="D166" s="48"/>
      <c r="E166" s="48"/>
      <c r="F166" s="48"/>
    </row>
    <row r="167" spans="1:6" x14ac:dyDescent="0.25">
      <c r="A167" s="6" t="s">
        <v>3</v>
      </c>
      <c r="B167" s="6" t="s">
        <v>4</v>
      </c>
      <c r="C167" s="6" t="s">
        <v>5</v>
      </c>
      <c r="D167" s="6" t="s">
        <v>16</v>
      </c>
      <c r="E167" s="6" t="s">
        <v>6</v>
      </c>
      <c r="F167" s="6" t="s">
        <v>21</v>
      </c>
    </row>
    <row r="168" spans="1:6" ht="15.75" x14ac:dyDescent="0.25">
      <c r="A168" s="9" t="s">
        <v>7</v>
      </c>
      <c r="B168" s="51" t="s">
        <v>67</v>
      </c>
      <c r="C168" s="11">
        <v>1</v>
      </c>
      <c r="D168" s="12">
        <v>99000</v>
      </c>
      <c r="E168" s="13">
        <v>99000</v>
      </c>
      <c r="F168" s="14"/>
    </row>
    <row r="169" spans="1:6" ht="15.75" x14ac:dyDescent="0.25">
      <c r="A169" s="9" t="s">
        <v>8</v>
      </c>
      <c r="B169" s="52" t="s">
        <v>68</v>
      </c>
      <c r="C169" s="11">
        <v>1</v>
      </c>
      <c r="D169" s="12">
        <v>99000</v>
      </c>
      <c r="E169" s="13">
        <v>99000</v>
      </c>
      <c r="F169" s="14"/>
    </row>
    <row r="170" spans="1:6" ht="30" x14ac:dyDescent="0.25">
      <c r="A170" s="9" t="s">
        <v>9</v>
      </c>
      <c r="B170" s="53" t="s">
        <v>75</v>
      </c>
      <c r="C170" s="11">
        <v>2</v>
      </c>
      <c r="D170" s="12">
        <v>125000</v>
      </c>
      <c r="E170" s="17">
        <v>250000</v>
      </c>
      <c r="F170" s="14"/>
    </row>
    <row r="171" spans="1:6" ht="15.75" x14ac:dyDescent="0.25">
      <c r="A171" s="9" t="s">
        <v>10</v>
      </c>
      <c r="B171" s="54" t="s">
        <v>69</v>
      </c>
      <c r="C171" s="11">
        <v>2</v>
      </c>
      <c r="D171" s="12">
        <v>100000</v>
      </c>
      <c r="E171" s="17">
        <v>220000</v>
      </c>
      <c r="F171" s="14"/>
    </row>
    <row r="172" spans="1:6" ht="15.75" x14ac:dyDescent="0.25">
      <c r="A172" s="9" t="s">
        <v>11</v>
      </c>
      <c r="B172" s="51" t="s">
        <v>76</v>
      </c>
      <c r="C172" s="11">
        <v>5</v>
      </c>
      <c r="D172" s="12">
        <v>71000</v>
      </c>
      <c r="E172" s="17">
        <f>D172*5</f>
        <v>355000</v>
      </c>
      <c r="F172" s="14"/>
    </row>
    <row r="173" spans="1:6" ht="15.75" x14ac:dyDescent="0.25">
      <c r="A173" s="9" t="s">
        <v>12</v>
      </c>
      <c r="B173" s="53" t="s">
        <v>70</v>
      </c>
      <c r="C173" s="11">
        <v>2</v>
      </c>
      <c r="D173" s="12"/>
      <c r="E173" s="17">
        <v>100000</v>
      </c>
      <c r="F173" s="14"/>
    </row>
    <row r="174" spans="1:6" ht="15.75" x14ac:dyDescent="0.25">
      <c r="A174" s="9"/>
      <c r="B174" s="51" t="s">
        <v>71</v>
      </c>
      <c r="C174" s="11">
        <v>2</v>
      </c>
      <c r="D174" s="12">
        <v>6000</v>
      </c>
      <c r="E174" s="17">
        <v>12000</v>
      </c>
      <c r="F174" s="14"/>
    </row>
    <row r="175" spans="1:6" ht="15.75" x14ac:dyDescent="0.25">
      <c r="A175" s="9" t="s">
        <v>13</v>
      </c>
      <c r="B175" s="51" t="s">
        <v>77</v>
      </c>
      <c r="C175" s="11">
        <v>1</v>
      </c>
      <c r="D175" s="12">
        <v>67500</v>
      </c>
      <c r="E175" s="20">
        <v>70000</v>
      </c>
      <c r="F175" s="14"/>
    </row>
    <row r="176" spans="1:6" ht="15.75" x14ac:dyDescent="0.25">
      <c r="A176" s="9" t="s">
        <v>37</v>
      </c>
      <c r="B176" s="51" t="s">
        <v>72</v>
      </c>
      <c r="C176" s="11">
        <v>1</v>
      </c>
      <c r="D176" s="12"/>
      <c r="E176" s="20"/>
      <c r="F176" s="14" t="s">
        <v>40</v>
      </c>
    </row>
    <row r="177" spans="1:6" ht="15.75" x14ac:dyDescent="0.25">
      <c r="A177" s="9"/>
      <c r="B177" s="51"/>
      <c r="C177" s="24" t="s">
        <v>17</v>
      </c>
      <c r="D177" s="25"/>
      <c r="E177" s="8">
        <f>SUM(E168:E176)</f>
        <v>1205000</v>
      </c>
      <c r="F177" s="38">
        <f>E177*2</f>
        <v>2410000</v>
      </c>
    </row>
    <row r="178" spans="1:6" ht="15.75" x14ac:dyDescent="0.25">
      <c r="A178" s="9"/>
      <c r="B178" s="23"/>
      <c r="C178" s="30">
        <v>0.15</v>
      </c>
      <c r="D178" s="25"/>
      <c r="E178" s="26">
        <f>E177*15%</f>
        <v>180750</v>
      </c>
      <c r="F178" s="38">
        <f>E178*2</f>
        <v>361500</v>
      </c>
    </row>
    <row r="179" spans="1:6" ht="15.75" x14ac:dyDescent="0.25">
      <c r="A179" s="9"/>
      <c r="B179" s="9"/>
      <c r="C179" s="24" t="s">
        <v>20</v>
      </c>
      <c r="D179" s="27"/>
      <c r="E179" s="8">
        <f>SUM(E177:E178)</f>
        <v>1385750</v>
      </c>
      <c r="F179" s="38">
        <f>E179*2</f>
        <v>2771500</v>
      </c>
    </row>
    <row r="180" spans="1:6" ht="15.75" x14ac:dyDescent="0.25">
      <c r="A180" s="9"/>
      <c r="B180" s="9"/>
      <c r="C180" s="28" t="s">
        <v>14</v>
      </c>
      <c r="D180" s="29"/>
      <c r="E180" s="7">
        <f>E179*18%</f>
        <v>249435</v>
      </c>
      <c r="F180" s="38">
        <f>F179*18%</f>
        <v>498870</v>
      </c>
    </row>
    <row r="181" spans="1:6" ht="15.75" x14ac:dyDescent="0.25">
      <c r="A181" s="9"/>
      <c r="B181" s="9"/>
      <c r="C181" s="28" t="s">
        <v>15</v>
      </c>
      <c r="D181" s="29"/>
      <c r="E181" s="7">
        <f>SUM(E179:E180)</f>
        <v>1635185</v>
      </c>
      <c r="F181" s="38">
        <f>SUM(F179:F180)</f>
        <v>3270370</v>
      </c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2026-09-02T04:51:20Z</dcterms:modified>
</cp:coreProperties>
</file>