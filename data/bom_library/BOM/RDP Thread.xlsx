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E14" i="1" l="1"/>
  <c r="E15" i="1" s="1"/>
  <c r="E16" i="1" l="1"/>
  <c r="E17" i="1" l="1"/>
  <c r="E18" i="1" s="1"/>
</calcChain>
</file>

<file path=xl/sharedStrings.xml><?xml version="1.0" encoding="utf-8"?>
<sst xmlns="http://schemas.openxmlformats.org/spreadsheetml/2006/main" count="31" uniqueCount="31">
  <si>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</si>
  <si>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</si>
  <si>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</si>
  <si>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</si>
  <si>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</si>
  <si>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</si>
  <si>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</si>
  <si>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</si>
  <si>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</si>
  <si>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</si>
  <si>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</si>
  <si>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</si>
  <si>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</si>
  <si>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</si>
  <si>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</si>
  <si>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</si>
  <si>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</si>
  <si>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</si>
  <si>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Margin-15%</t>
  </si>
  <si>
    <t>From</t>
  </si>
  <si>
    <t>HDD</t>
  </si>
  <si>
    <t>AMD Ryzen Threadripper PRO 9955WX</t>
  </si>
  <si>
    <t>2TB M.2 NVMe SSD</t>
  </si>
  <si>
    <t>4TB M.2 NVMe SSD</t>
  </si>
  <si>
    <t>1600W Platinum PSU</t>
  </si>
  <si>
    <t>NVIDIA RTX Pro 5000 Blackwell 48GB GDDR7</t>
  </si>
  <si>
    <t>TRX50 AERO D  AMD TRX50</t>
  </si>
  <si>
    <t>cooler</t>
  </si>
  <si>
    <t>Thermaltake View 600 Tempered Glass Black</t>
  </si>
  <si>
    <t>GPU</t>
  </si>
  <si>
    <t>4 x 32GB DDR5 6400MHz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</si>
</sst>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9" fontId="4" fillId="4" borderId="1" xfId="0" applyNumberFormat="1" applyFont="1" applyFill="1" applyBorder="1" applyAlignment="1">
      <alignment wrapText="1"/>
    </xf>
    <xf numFmtId="14" fontId="0" fillId="0" borderId="2" xfId="0" applyNumberFormat="1" applyFont="1" applyBorder="1" applyAlignment="1">
      <alignment horizontal="center" wrapText="1"/>
    </xf>
    <xf numFmtId="14" fontId="0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zoomScale="115" zoomScaleNormal="115" workbookViewId="0">
      <selection activeCell="H9" sqref="H9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31"/>
      <c r="E2" s="32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19</v>
      </c>
    </row>
    <row r="4" spans="1:6" ht="15.75" x14ac:dyDescent="0.25">
      <c r="A4" s="9" t="s">
        <v>7</v>
      </c>
      <c r="B4" s="10" t="s">
        <v>28</v>
      </c>
      <c r="C4" s="11">
        <v>1</v>
      </c>
      <c r="D4" s="12">
        <v>13999</v>
      </c>
      <c r="E4" s="13">
        <v>15000</v>
      </c>
      <c r="F4" s="14"/>
    </row>
    <row r="5" spans="1:6" ht="15.75" x14ac:dyDescent="0.25">
      <c r="A5" s="9" t="s">
        <v>8</v>
      </c>
      <c r="B5" s="15" t="s">
        <v>26</v>
      </c>
      <c r="C5" s="11">
        <v>1</v>
      </c>
      <c r="D5" s="12">
        <v>58000</v>
      </c>
      <c r="E5" s="17">
        <v>58000</v>
      </c>
      <c r="F5" s="14"/>
    </row>
    <row r="6" spans="1:6" ht="15.75" x14ac:dyDescent="0.25">
      <c r="A6" s="9" t="s">
        <v>9</v>
      </c>
      <c r="B6" s="16" t="s">
        <v>21</v>
      </c>
      <c r="C6" s="11">
        <v>1</v>
      </c>
      <c r="D6" s="12">
        <v>145000</v>
      </c>
      <c r="E6" s="17">
        <v>145000</v>
      </c>
      <c r="F6" s="14"/>
    </row>
    <row r="7" spans="1:6" ht="15.75" x14ac:dyDescent="0.25">
      <c r="A7" s="9" t="s">
        <v>10</v>
      </c>
      <c r="B7" s="18" t="s">
        <v>27</v>
      </c>
      <c r="C7" s="11">
        <v>1</v>
      </c>
      <c r="D7" s="12">
        <v>7500</v>
      </c>
      <c r="E7" s="17">
        <v>9000</v>
      </c>
      <c r="F7" s="14"/>
    </row>
    <row r="8" spans="1:6" ht="15.75" x14ac:dyDescent="0.25">
      <c r="A8" s="9" t="s">
        <v>11</v>
      </c>
      <c r="B8" s="19" t="s">
        <v>30</v>
      </c>
      <c r="C8" s="11">
        <v>4</v>
      </c>
      <c r="D8" s="12">
        <v>110000</v>
      </c>
      <c r="E8" s="17">
        <f>D8*4</f>
        <v>440000</v>
      </c>
      <c r="F8" s="14"/>
    </row>
    <row r="9" spans="1:6" ht="15.75" x14ac:dyDescent="0.25">
      <c r="A9" s="9" t="s">
        <v>12</v>
      </c>
      <c r="B9" s="16" t="s">
        <v>22</v>
      </c>
      <c r="C9" s="11">
        <v>1</v>
      </c>
      <c r="D9" s="12">
        <v>26500</v>
      </c>
      <c r="E9" s="17">
        <v>27000</v>
      </c>
      <c r="F9" s="14"/>
    </row>
    <row r="10" spans="1:6" ht="15.75" x14ac:dyDescent="0.25">
      <c r="A10" s="9" t="s">
        <v>20</v>
      </c>
      <c r="B10" s="16" t="s">
        <v>23</v>
      </c>
      <c r="C10" s="11">
        <v>1</v>
      </c>
      <c r="D10" s="12">
        <v>45000</v>
      </c>
      <c r="E10" s="17">
        <v>45000</v>
      </c>
      <c r="F10" s="14"/>
    </row>
    <row r="11" spans="1:6" ht="15.75" x14ac:dyDescent="0.25">
      <c r="A11" s="9" t="s">
        <v>13</v>
      </c>
      <c r="B11" s="16" t="s">
        <v>24</v>
      </c>
      <c r="C11" s="11">
        <v>1</v>
      </c>
      <c r="D11" s="12">
        <v>31000</v>
      </c>
      <c r="E11" s="20">
        <v>31000</v>
      </c>
      <c r="F11" s="14"/>
    </row>
    <row r="12" spans="1:6" ht="15.75" x14ac:dyDescent="0.25">
      <c r="A12" s="9" t="s">
        <v>29</v>
      </c>
      <c r="B12" s="14" t="s">
        <v>25</v>
      </c>
      <c r="C12" s="11">
        <v>1</v>
      </c>
      <c r="D12" s="21">
        <v>735000</v>
      </c>
      <c r="E12" s="22">
        <v>735000</v>
      </c>
      <c r="F12" s="14"/>
    </row>
    <row r="13" spans="1:6" ht="14.25" customHeight="1" x14ac:dyDescent="0.25">
      <c r="A13" s="9"/>
      <c r="B13" s="19"/>
      <c r="C13" s="11"/>
      <c r="D13" s="12"/>
      <c r="E13" s="20"/>
      <c r="F13" s="14"/>
    </row>
    <row r="14" spans="1:6" ht="16.149999999999999" customHeight="1" x14ac:dyDescent="0.25">
      <c r="A14" s="9"/>
      <c r="B14" s="23"/>
      <c r="C14" s="24" t="s">
        <v>17</v>
      </c>
      <c r="D14" s="25"/>
      <c r="E14" s="8">
        <f>SUM(E4:E13)</f>
        <v>1505000</v>
      </c>
      <c r="F14" s="14"/>
    </row>
    <row r="15" spans="1:6" ht="16.149999999999999" customHeight="1" x14ac:dyDescent="0.25">
      <c r="A15" s="9"/>
      <c r="B15" s="23"/>
      <c r="C15" s="30">
        <v>0.15</v>
      </c>
      <c r="D15" s="25"/>
      <c r="E15" s="26">
        <f>E14*15%</f>
        <v>225750</v>
      </c>
      <c r="F15" s="14"/>
    </row>
    <row r="16" spans="1:6" ht="18" customHeight="1" x14ac:dyDescent="0.25">
      <c r="A16" s="9"/>
      <c r="C16" s="24" t="s">
        <v>18</v>
      </c>
      <c r="D16" s="27"/>
      <c r="E16" s="8">
        <f>SUM(E14:E15)</f>
        <v>1730750</v>
      </c>
      <c r="F16" s="14"/>
    </row>
    <row r="17" spans="1:6" ht="15.75" x14ac:dyDescent="0.25">
      <c r="A17" s="9"/>
      <c r="B17" s="9"/>
      <c r="C17" s="28" t="s">
        <v>14</v>
      </c>
      <c r="D17" s="29"/>
      <c r="E17" s="7">
        <f>E16*18%</f>
        <v>311535</v>
      </c>
      <c r="F17" s="14"/>
    </row>
    <row r="18" spans="1:6" ht="15.75" x14ac:dyDescent="0.25">
      <c r="A18" s="9"/>
      <c r="B18" s="9"/>
      <c r="C18" s="28" t="s">
        <v>15</v>
      </c>
      <c r="D18" s="29"/>
      <c r="E18" s="7">
        <f>SUM(E16:E17)</f>
        <v>2042285</v>
      </c>
      <c r="F18" s="14"/>
    </row>
    <row r="35" spans="4:4" x14ac:dyDescent="0.25">
      <c r="D35">
        <v>29365</v>
      </c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2026-09-21T04:53:58Z</dcterms:modified>
</cp:coreProperties>
</file>