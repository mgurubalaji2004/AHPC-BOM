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8" i="1" l="1"/>
  <c r="E15" i="1" l="1"/>
  <c r="E16" i="1" s="1"/>
  <c r="E17" i="1" l="1"/>
  <c r="E18" i="1" l="1"/>
  <c r="E19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<sst xmlns="http://schemas.openxmlformats.org/spreadsheetml/2006/main" count="31" uniqueCount="31">
  <si>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</si>
  <si>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</si>
  <si>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</si>
  <si>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</si>
  <si>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</si>
  <si>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</si>
  <si>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</si>
  <si>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</si>
  <si>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</si>
  <si>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</si>
  <si>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</si>
  <si>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</si>
  <si>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</si>
  <si>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</si>
  <si>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</si>
  <si>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</si>
  <si>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</si>
  <si>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</si>
  <si>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</si>
  <si>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</si>
  <si>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</si>
  <si>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</si>
  <si>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1 × 3.84 TB 2.5-inch Enterprise SATA SSD</t>
  </si>
  <si>
    <t>1 × 480 GB M.2 NVMe SSD</t>
  </si>
  <si>
    <t>2 × 64 GB DDR5 4800MHz</t>
  </si>
  <si>
    <t xml:space="preserve">NVIDIA RTX 6000 server edition </t>
  </si>
  <si>
    <t>2400W RPS</t>
  </si>
  <si>
    <t xml:space="preserve">IW 4U 4GPU </t>
  </si>
  <si>
    <t>Intel® Xeon® 6 6520P (24-Cores, Base Freq 2.4GHz, Max Freq 4.00GHz, Cache 144MB)</t>
  </si>
  <si>
    <t>MS74-HB0</t>
  </si>
  <si>
    <t>Dynatron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</si>
</sst>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87" zoomScaleNormal="100" workbookViewId="0">
      <selection activeCell="N13" sqref="N1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9.8554687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27</v>
      </c>
      <c r="C4" s="11">
        <v>1</v>
      </c>
      <c r="D4" s="12">
        <v>60000</v>
      </c>
      <c r="E4" s="13">
        <v>60000</v>
      </c>
      <c r="F4" s="14"/>
    </row>
    <row r="5" spans="1:6" ht="15.75" x14ac:dyDescent="0.25">
      <c r="A5" s="9" t="s">
        <v>8</v>
      </c>
      <c r="B5" s="15" t="s">
        <v>29</v>
      </c>
      <c r="C5" s="11">
        <v>1</v>
      </c>
      <c r="D5" s="12">
        <v>99000</v>
      </c>
      <c r="E5" s="13">
        <v>121000</v>
      </c>
      <c r="F5" s="14"/>
    </row>
    <row r="6" spans="1:6" ht="31.5" x14ac:dyDescent="0.25">
      <c r="A6" s="9" t="s">
        <v>9</v>
      </c>
      <c r="B6" s="16" t="s">
        <v>28</v>
      </c>
      <c r="C6" s="11">
        <v>2</v>
      </c>
      <c r="D6" s="12">
        <v>261000</v>
      </c>
      <c r="E6" s="17">
        <v>291000</v>
      </c>
      <c r="F6" s="14"/>
    </row>
    <row r="7" spans="1:6" ht="15.75" x14ac:dyDescent="0.25">
      <c r="A7" s="9" t="s">
        <v>10</v>
      </c>
      <c r="B7" s="18" t="s">
        <v>30</v>
      </c>
      <c r="C7" s="11">
        <v>1</v>
      </c>
      <c r="D7" s="12">
        <v>7500</v>
      </c>
      <c r="E7" s="17">
        <v>15000</v>
      </c>
      <c r="F7" s="14"/>
    </row>
    <row r="8" spans="1:6" ht="15.75" x14ac:dyDescent="0.25">
      <c r="A8" s="9" t="s">
        <v>11</v>
      </c>
      <c r="B8" s="19" t="s">
        <v>24</v>
      </c>
      <c r="C8" s="11">
        <v>2</v>
      </c>
      <c r="D8" s="12">
        <v>225000</v>
      </c>
      <c r="E8" s="17">
        <f>D8*2</f>
        <v>450000</v>
      </c>
      <c r="F8" s="14"/>
    </row>
    <row r="9" spans="1:6" ht="15.75" x14ac:dyDescent="0.25">
      <c r="A9" s="9" t="s">
        <v>12</v>
      </c>
      <c r="B9" s="16" t="s">
        <v>23</v>
      </c>
      <c r="C9" s="11">
        <v>1</v>
      </c>
      <c r="D9" s="12">
        <v>47500</v>
      </c>
      <c r="E9" s="17">
        <v>48000</v>
      </c>
      <c r="F9" s="14"/>
    </row>
    <row r="10" spans="1:6" ht="15.75" x14ac:dyDescent="0.25">
      <c r="A10" s="9"/>
      <c r="B10" s="16" t="s">
        <v>22</v>
      </c>
      <c r="C10" s="11">
        <v>1</v>
      </c>
      <c r="D10" s="12">
        <v>165000</v>
      </c>
      <c r="E10" s="17">
        <v>165000</v>
      </c>
      <c r="F10" s="14"/>
    </row>
    <row r="11" spans="1:6" ht="15.75" x14ac:dyDescent="0.25">
      <c r="A11" s="9"/>
      <c r="B11" s="16" t="s">
        <v>25</v>
      </c>
      <c r="C11" s="11">
        <v>1</v>
      </c>
      <c r="D11" s="12">
        <v>1600000</v>
      </c>
      <c r="E11" s="17">
        <v>1600000</v>
      </c>
      <c r="F11" s="14"/>
    </row>
    <row r="12" spans="1:6" ht="15.75" x14ac:dyDescent="0.25">
      <c r="A12" s="9" t="s">
        <v>13</v>
      </c>
      <c r="B12" s="16" t="s">
        <v>26</v>
      </c>
      <c r="C12" s="11">
        <v>1</v>
      </c>
      <c r="D12" s="12">
        <v>70000</v>
      </c>
      <c r="E12" s="20">
        <v>70000</v>
      </c>
      <c r="F12" s="14"/>
    </row>
    <row r="13" spans="1:6" ht="15.75" x14ac:dyDescent="0.25">
      <c r="A13" s="9" t="s">
        <v>18</v>
      </c>
      <c r="B13" s="14"/>
      <c r="C13" s="11"/>
      <c r="D13" s="21"/>
      <c r="E13" s="22"/>
      <c r="F13" s="14"/>
    </row>
    <row r="14" spans="1:6" ht="14.25" customHeight="1" x14ac:dyDescent="0.25">
      <c r="A14" s="9" t="s">
        <v>19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8">
        <f>SUM(E4:E14)</f>
        <v>2820000</v>
      </c>
      <c r="F15" s="14"/>
    </row>
    <row r="16" spans="1:6" ht="16.149999999999999" customHeight="1" x14ac:dyDescent="0.25">
      <c r="A16" s="9"/>
      <c r="B16" s="23"/>
      <c r="C16" s="30">
        <v>0.15</v>
      </c>
      <c r="D16" s="25"/>
      <c r="E16" s="26">
        <f>E15*15%</f>
        <v>423000</v>
      </c>
      <c r="F16" s="14"/>
    </row>
    <row r="17" spans="1:6" ht="18" customHeight="1" x14ac:dyDescent="0.25">
      <c r="A17" s="9"/>
      <c r="B17" s="9"/>
      <c r="C17" s="24" t="s">
        <v>20</v>
      </c>
      <c r="D17" s="27">
        <v>85000000</v>
      </c>
      <c r="E17" s="8">
        <f>SUM(E15:E16)</f>
        <v>3243000</v>
      </c>
      <c r="F17" s="14"/>
    </row>
    <row r="18" spans="1:6" ht="15.75" x14ac:dyDescent="0.25">
      <c r="A18" s="9"/>
      <c r="B18" s="9"/>
      <c r="C18" s="28" t="s">
        <v>14</v>
      </c>
      <c r="D18" s="29">
        <f>D17*18%</f>
        <v>15300000</v>
      </c>
      <c r="E18" s="7">
        <f>E17*18%</f>
        <v>583740</v>
      </c>
      <c r="F18" s="14"/>
    </row>
    <row r="19" spans="1:6" ht="15.75" x14ac:dyDescent="0.25">
      <c r="A19" s="9"/>
      <c r="B19" s="9"/>
      <c r="C19" s="28" t="s">
        <v>15</v>
      </c>
      <c r="D19" s="29">
        <f>SUM(D17:D18)</f>
        <v>100300000</v>
      </c>
      <c r="E19" s="7">
        <f>SUM(E17:E18)</f>
        <v>3826740</v>
      </c>
      <c r="F19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2026-08-28T10:18:57Z</dcterms:modified>
</cp:coreProperties>
</file>