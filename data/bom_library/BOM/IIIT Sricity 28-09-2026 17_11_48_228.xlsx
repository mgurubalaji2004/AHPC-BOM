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3315" windowHeight="7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8" i="1" l="1"/>
  <c r="D109" i="1"/>
  <c r="D110" i="1" s="1"/>
  <c r="D111" i="1" s="1"/>
  <c r="E105" i="1" l="1"/>
  <c r="E106" i="1" s="1"/>
  <c r="E101" i="1"/>
  <c r="E100" i="1"/>
  <c r="E90" i="1" l="1"/>
  <c r="E91" i="1" s="1"/>
  <c r="E92" i="1" s="1"/>
  <c r="E93" i="1" l="1"/>
  <c r="E94" i="1" s="1"/>
  <c r="E26" i="1" l="1"/>
  <c r="E71" i="1" l="1"/>
  <c r="E72" i="1" s="1"/>
  <c r="E73" i="1" l="1"/>
  <c r="E74" i="1" l="1"/>
  <c r="E75" i="1" s="1"/>
  <c r="E51" i="1" l="1"/>
  <c r="E52" i="1" l="1"/>
  <c r="E53" i="1" s="1"/>
  <c r="E54" i="1" l="1"/>
  <c r="E55" i="1" s="1"/>
  <c r="E15" i="1" l="1"/>
  <c r="E16" i="1" l="1"/>
  <c r="E17" i="1" s="1"/>
  <c r="E33" i="1"/>
  <c r="E18" i="1" l="1"/>
  <c r="E19" i="1"/>
</calcChain>
</file>

<file path=xl/sharedStrings.xml><?xml version="1.0" encoding="utf-8"?>
<sst xmlns="http://schemas.openxmlformats.org/spreadsheetml/2006/main" count="216" uniqueCount="54">
  <si>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</si>
  <si>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</si>
  <si>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</si>
  <si>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</si>
  <si>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</si>
  <si>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</si>
  <si>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</si>
  <si>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</si>
  <si>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</si>
  <si>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</si>
  <si>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</si>
  <si>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</si>
  <si>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</si>
  <si>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HDD</t>
  </si>
  <si>
    <t>Graphics</t>
  </si>
  <si>
    <t>power supply</t>
  </si>
  <si>
    <t>GST -18%</t>
  </si>
  <si>
    <t>Total Price</t>
  </si>
  <si>
    <t xml:space="preserve">indicate changes if any </t>
  </si>
  <si>
    <t>With Margin(15%)</t>
  </si>
  <si>
    <t>Unit Prize</t>
  </si>
  <si>
    <t>Sub Total</t>
  </si>
  <si>
    <t xml:space="preserve">b850 m gaming x wifi 6e </t>
  </si>
  <si>
    <t>AMD Ryzen™ 9 9950X Cores-16, Base Freq 4.3GHz, Max Freq 5.7GHz, 64MB Cache</t>
  </si>
  <si>
    <t xml:space="preserve">liquid freezer iii pro 360 </t>
  </si>
  <si>
    <t xml:space="preserve">1000W ATX </t>
  </si>
  <si>
    <t xml:space="preserve">Z790 AORUS ELITE X WIFI7 Intel® Z790 Express Chipset with 4 x DIMMs Motherboard </t>
  </si>
  <si>
    <t>Keyboard &amp; Mouse</t>
  </si>
  <si>
    <t>LOGITECH MK200 COMBO</t>
  </si>
  <si>
    <t>With Margin(12%)</t>
  </si>
  <si>
    <t>prathick</t>
  </si>
  <si>
    <t>REVISED</t>
  </si>
  <si>
    <t>64GB DDR5 5200MHz</t>
  </si>
  <si>
    <t>1TB M.2 NVMe SSD</t>
  </si>
  <si>
    <t>2TB SATA HDD</t>
  </si>
  <si>
    <t xml:space="preserve">NVIDIA RTX 4000 Ada 20GB GDDR6 </t>
  </si>
  <si>
    <t>Monitor</t>
  </si>
  <si>
    <t xml:space="preserve">24" Monitor </t>
  </si>
  <si>
    <t>Intel® Core™ i9-12900F Processor (16-Cores, 8 E-Cores, 8 P-Cores, 24 Threads, E-Base Freq 1.80GHz, P-Base Freq 2.40GHz, E-Max Freq 3.80GHz, P-Max Freq 5.00GHz, 30 MB Intel® Smart Cache)</t>
  </si>
  <si>
    <t>Bevaja</t>
  </si>
  <si>
    <t>2TB M.2 NVMe SSD</t>
  </si>
  <si>
    <t>NVIDIA RTX PRO 5000 Blackwell 48GB GDDR7</t>
  </si>
  <si>
    <t>ATX Cabinet</t>
  </si>
  <si>
    <t>ATX cabinet</t>
  </si>
  <si>
    <t>Intel® Core™ i9 processor 14900K (24-Cores, 16 E-Cores, 8 P-Cores, 24 Threads, E-Base Freq 2.4GHz, P-Base Freq 3.2GHz, E-Max Freq 4.4GHz, P-Max Freq 5.8GHz, 36MB Intel® Smart Cache)</t>
  </si>
  <si>
    <t xml:space="preserve">2TB M.2 NVMe SSD </t>
  </si>
  <si>
    <t>64GB DDR5 4800MHz</t>
  </si>
  <si>
    <t xml:space="preserve">24" Inches Monitor </t>
  </si>
  <si>
    <t>64GB DDR5 5200 gskill / corsair</t>
  </si>
  <si>
    <t xml:space="preserve">2TB SATA HDD wd / seagate </t>
  </si>
  <si>
    <t xml:space="preserve"> </t>
  </si>
  <si>
    <t xml:space="preserve">1000W ATX  evga </t>
  </si>
  <si>
    <t xml:space="preserve">24" Inches Monitor  acer </t>
  </si>
  <si>
    <t>LOGITECH MK200 COMBO dell / logitech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</si>
</sst>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1" xfId="0" applyFont="1" applyBorder="1" applyAlignment="1">
      <alignment horizontal="right"/>
    </xf>
    <xf numFmtId="0" fontId="0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wrapText="1"/>
    </xf>
    <xf numFmtId="3" fontId="0" fillId="0" borderId="1" xfId="0" applyNumberFormat="1" applyFont="1" applyBorder="1" applyAlignment="1">
      <alignment horizontal="right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0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4" fontId="2" fillId="0" borderId="1" xfId="0" applyNumberFormat="1" applyFont="1" applyBorder="1" applyAlignment="1">
      <alignment horizontal="right"/>
    </xf>
    <xf numFmtId="4" fontId="0" fillId="0" borderId="1" xfId="0" applyNumberFormat="1" applyFont="1" applyBorder="1" applyAlignment="1">
      <alignment horizontal="right"/>
    </xf>
    <xf numFmtId="0" fontId="1" fillId="0" borderId="0" xfId="0" applyFont="1"/>
    <xf numFmtId="3" fontId="0" fillId="0" borderId="1" xfId="0" applyNumberFormat="1" applyBorder="1"/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5" fillId="6" borderId="1" xfId="0" applyFont="1" applyFill="1" applyBorder="1"/>
    <xf numFmtId="0" fontId="0" fillId="0" borderId="1" xfId="0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5" borderId="2" xfId="0" applyFont="1" applyFill="1" applyBorder="1" applyAlignment="1">
      <alignment horizontal="center" vertical="top" wrapText="1"/>
    </xf>
    <xf numFmtId="0" fontId="0" fillId="0" borderId="3" xfId="0" applyFont="1" applyBorder="1"/>
    <xf numFmtId="4" fontId="2" fillId="0" borderId="1" xfId="0" applyNumberFormat="1" applyFont="1" applyBorder="1" applyAlignment="1" applyProtection="1">
      <alignment horizontal="right"/>
      <protection locked="0"/>
    </xf>
    <xf numFmtId="4" fontId="0" fillId="0" borderId="1" xfId="0" applyNumberFormat="1" applyBorder="1" applyProtection="1">
      <protection locked="0"/>
    </xf>
    <xf numFmtId="3" fontId="0" fillId="5" borderId="1" xfId="0" applyNumberFormat="1" applyFont="1" applyFill="1" applyBorder="1" applyAlignment="1">
      <alignment horizontal="center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topLeftCell="A76" zoomScale="87" zoomScaleNormal="87" workbookViewId="0">
      <selection activeCell="D109" sqref="D109:D111"/>
    </sheetView>
  </sheetViews>
  <sheetFormatPr defaultRowHeight="15" x14ac:dyDescent="0.25"/>
  <cols>
    <col min="1" max="1" width="14.28515625" customWidth="1"/>
    <col min="2" max="2" width="63.85546875" customWidth="1"/>
    <col min="3" max="3" width="17.28515625" customWidth="1"/>
    <col min="4" max="4" width="15.5703125" customWidth="1"/>
    <col min="5" max="5" width="16.85546875" customWidth="1"/>
    <col min="6" max="6" width="16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20</v>
      </c>
      <c r="E3" s="6" t="s">
        <v>6</v>
      </c>
      <c r="F3" s="6" t="s">
        <v>18</v>
      </c>
    </row>
    <row r="4" spans="1:6" x14ac:dyDescent="0.25">
      <c r="A4" s="2" t="s">
        <v>7</v>
      </c>
      <c r="B4" s="21" t="s">
        <v>42</v>
      </c>
      <c r="C4" s="8">
        <v>1</v>
      </c>
      <c r="D4" s="18">
        <v>5500</v>
      </c>
      <c r="E4" s="16">
        <v>5500</v>
      </c>
      <c r="F4" s="3" t="s">
        <v>30</v>
      </c>
    </row>
    <row r="5" spans="1:6" x14ac:dyDescent="0.25">
      <c r="A5" s="2" t="s">
        <v>8</v>
      </c>
      <c r="B5" s="21" t="s">
        <v>22</v>
      </c>
      <c r="C5" s="8">
        <v>1</v>
      </c>
      <c r="D5" s="18">
        <v>24800</v>
      </c>
      <c r="E5" s="16">
        <v>25000</v>
      </c>
      <c r="F5" s="3" t="s">
        <v>30</v>
      </c>
    </row>
    <row r="6" spans="1:6" ht="30" x14ac:dyDescent="0.25">
      <c r="A6" s="2" t="s">
        <v>9</v>
      </c>
      <c r="B6" s="7" t="s">
        <v>23</v>
      </c>
      <c r="C6" s="8">
        <v>1</v>
      </c>
      <c r="D6" s="18">
        <v>39800</v>
      </c>
      <c r="E6" s="17">
        <v>40000</v>
      </c>
      <c r="F6" s="3" t="s">
        <v>30</v>
      </c>
    </row>
    <row r="7" spans="1:6" x14ac:dyDescent="0.25">
      <c r="A7" s="2" t="s">
        <v>10</v>
      </c>
      <c r="B7" s="3" t="s">
        <v>24</v>
      </c>
      <c r="C7" s="8">
        <v>1</v>
      </c>
      <c r="D7" s="18">
        <v>6500</v>
      </c>
      <c r="E7" s="16">
        <v>6500</v>
      </c>
      <c r="F7" s="3" t="s">
        <v>30</v>
      </c>
    </row>
    <row r="8" spans="1:6" x14ac:dyDescent="0.25">
      <c r="A8" s="2" t="s">
        <v>11</v>
      </c>
      <c r="B8" s="9" t="s">
        <v>48</v>
      </c>
      <c r="C8" s="8">
        <v>2</v>
      </c>
      <c r="D8" s="18">
        <v>100000</v>
      </c>
      <c r="E8" s="17">
        <v>200000</v>
      </c>
      <c r="F8" s="3" t="s">
        <v>30</v>
      </c>
    </row>
    <row r="9" spans="1:6" x14ac:dyDescent="0.25">
      <c r="A9" s="2" t="s">
        <v>12</v>
      </c>
      <c r="B9" s="7" t="s">
        <v>45</v>
      </c>
      <c r="C9" s="8">
        <v>1</v>
      </c>
      <c r="D9" s="18">
        <v>15800</v>
      </c>
      <c r="E9" s="16">
        <v>16000</v>
      </c>
      <c r="F9" s="3" t="s">
        <v>30</v>
      </c>
    </row>
    <row r="10" spans="1:6" x14ac:dyDescent="0.25">
      <c r="A10" s="2" t="s">
        <v>13</v>
      </c>
      <c r="B10" s="9" t="s">
        <v>49</v>
      </c>
      <c r="C10" s="8">
        <v>1</v>
      </c>
      <c r="D10" s="18">
        <v>11500</v>
      </c>
      <c r="E10" s="16">
        <v>11500</v>
      </c>
      <c r="F10" s="3" t="s">
        <v>30</v>
      </c>
    </row>
    <row r="11" spans="1:6" x14ac:dyDescent="0.25">
      <c r="A11" s="2" t="s">
        <v>14</v>
      </c>
      <c r="B11" s="25" t="s">
        <v>50</v>
      </c>
      <c r="C11" s="8">
        <v>1</v>
      </c>
      <c r="D11" s="18"/>
      <c r="E11" s="16"/>
      <c r="F11" s="3" t="s">
        <v>30</v>
      </c>
    </row>
    <row r="12" spans="1:6" x14ac:dyDescent="0.25">
      <c r="A12" s="2" t="s">
        <v>15</v>
      </c>
      <c r="B12" s="7" t="s">
        <v>51</v>
      </c>
      <c r="C12" s="8">
        <v>1</v>
      </c>
      <c r="D12" s="18">
        <v>10000</v>
      </c>
      <c r="E12" s="16">
        <v>10000</v>
      </c>
      <c r="F12" s="3" t="s">
        <v>30</v>
      </c>
    </row>
    <row r="13" spans="1:6" x14ac:dyDescent="0.25">
      <c r="A13" s="2"/>
      <c r="B13" s="7" t="s">
        <v>52</v>
      </c>
      <c r="C13" s="30">
        <v>1</v>
      </c>
      <c r="D13" s="18">
        <v>7000</v>
      </c>
      <c r="E13" s="16">
        <v>7000</v>
      </c>
      <c r="F13" s="3"/>
    </row>
    <row r="14" spans="1:6" ht="16.149999999999999" customHeight="1" x14ac:dyDescent="0.25">
      <c r="A14" s="2" t="s">
        <v>27</v>
      </c>
      <c r="B14" s="7" t="s">
        <v>53</v>
      </c>
      <c r="C14" s="20">
        <v>1</v>
      </c>
      <c r="D14" s="18">
        <v>1000</v>
      </c>
      <c r="E14" s="16">
        <v>1000</v>
      </c>
      <c r="F14" s="3" t="s">
        <v>30</v>
      </c>
    </row>
    <row r="15" spans="1:6" ht="18" customHeight="1" x14ac:dyDescent="0.25">
      <c r="A15" s="2"/>
      <c r="B15" s="11"/>
      <c r="C15" s="12" t="s">
        <v>21</v>
      </c>
      <c r="D15" s="8"/>
      <c r="E15" s="26">
        <f>SUM(E4:E14)</f>
        <v>322500</v>
      </c>
      <c r="F15" s="3"/>
    </row>
    <row r="16" spans="1:6" x14ac:dyDescent="0.25">
      <c r="A16" s="2"/>
      <c r="B16" s="2"/>
      <c r="C16" s="12" t="s">
        <v>19</v>
      </c>
      <c r="D16" s="10"/>
      <c r="E16" s="13">
        <f>E15*15%</f>
        <v>48375</v>
      </c>
      <c r="F16" s="3"/>
    </row>
    <row r="17" spans="1:6" ht="15.75" x14ac:dyDescent="0.25">
      <c r="A17" s="2"/>
      <c r="B17" s="2"/>
      <c r="C17" s="6" t="s">
        <v>16</v>
      </c>
      <c r="D17" s="33"/>
      <c r="E17" s="35">
        <f>SUM(E15:E16)</f>
        <v>370875</v>
      </c>
      <c r="F17" s="34"/>
    </row>
    <row r="18" spans="1:6" ht="15.75" x14ac:dyDescent="0.25">
      <c r="A18" s="2"/>
      <c r="B18" s="2"/>
      <c r="C18" s="6" t="s">
        <v>17</v>
      </c>
      <c r="D18" s="33"/>
      <c r="E18" s="35">
        <f>E17*18%</f>
        <v>66757.5</v>
      </c>
      <c r="F18" s="34"/>
    </row>
    <row r="19" spans="1:6" x14ac:dyDescent="0.25">
      <c r="E19" s="36">
        <f>SUM(E17:E18)</f>
        <v>437632.5</v>
      </c>
    </row>
    <row r="21" spans="1:6" ht="30" x14ac:dyDescent="0.25">
      <c r="A21" s="6" t="s">
        <v>3</v>
      </c>
      <c r="B21" s="6" t="s">
        <v>4</v>
      </c>
      <c r="C21" s="6" t="s">
        <v>5</v>
      </c>
      <c r="D21" s="6" t="s">
        <v>20</v>
      </c>
      <c r="E21" s="6" t="s">
        <v>6</v>
      </c>
      <c r="F21" s="6" t="s">
        <v>18</v>
      </c>
    </row>
    <row r="22" spans="1:6" x14ac:dyDescent="0.25">
      <c r="A22" s="2" t="s">
        <v>7</v>
      </c>
      <c r="B22" s="21" t="s">
        <v>42</v>
      </c>
      <c r="C22" s="15">
        <v>1</v>
      </c>
      <c r="D22" s="18">
        <v>3500</v>
      </c>
      <c r="E22" s="16">
        <v>5500</v>
      </c>
      <c r="F22" s="3" t="s">
        <v>30</v>
      </c>
    </row>
    <row r="23" spans="1:6" ht="30" x14ac:dyDescent="0.25">
      <c r="A23" s="2" t="s">
        <v>8</v>
      </c>
      <c r="B23" s="22" t="s">
        <v>26</v>
      </c>
      <c r="C23" s="15">
        <v>1</v>
      </c>
      <c r="D23" s="18">
        <v>24800</v>
      </c>
      <c r="E23" s="16">
        <v>25000</v>
      </c>
      <c r="F23" s="3" t="s">
        <v>30</v>
      </c>
    </row>
    <row r="24" spans="1:6" ht="45" x14ac:dyDescent="0.25">
      <c r="A24" s="2" t="s">
        <v>9</v>
      </c>
      <c r="B24" s="7" t="s">
        <v>44</v>
      </c>
      <c r="C24" s="15">
        <v>1</v>
      </c>
      <c r="D24" s="18">
        <v>39800</v>
      </c>
      <c r="E24" s="17">
        <v>40000</v>
      </c>
      <c r="F24" s="3" t="s">
        <v>30</v>
      </c>
    </row>
    <row r="25" spans="1:6" x14ac:dyDescent="0.25">
      <c r="A25" s="2" t="s">
        <v>10</v>
      </c>
      <c r="B25" s="3" t="s">
        <v>24</v>
      </c>
      <c r="C25" s="15">
        <v>1</v>
      </c>
      <c r="D25" s="18">
        <v>6500</v>
      </c>
      <c r="E25" s="16">
        <v>6500</v>
      </c>
      <c r="F25" s="3" t="s">
        <v>30</v>
      </c>
    </row>
    <row r="26" spans="1:6" x14ac:dyDescent="0.25">
      <c r="A26" s="2" t="s">
        <v>11</v>
      </c>
      <c r="B26" s="9" t="s">
        <v>46</v>
      </c>
      <c r="C26" s="15">
        <v>2</v>
      </c>
      <c r="D26" s="18">
        <v>100000</v>
      </c>
      <c r="E26" s="17">
        <f>D26*2</f>
        <v>200000</v>
      </c>
      <c r="F26" s="3" t="s">
        <v>30</v>
      </c>
    </row>
    <row r="27" spans="1:6" x14ac:dyDescent="0.25">
      <c r="A27" s="2" t="s">
        <v>12</v>
      </c>
      <c r="B27" s="7" t="s">
        <v>40</v>
      </c>
      <c r="C27" s="30">
        <v>1</v>
      </c>
      <c r="D27" s="18">
        <v>26500</v>
      </c>
      <c r="E27" s="16">
        <v>16000</v>
      </c>
      <c r="F27" s="3" t="s">
        <v>30</v>
      </c>
    </row>
    <row r="28" spans="1:6" x14ac:dyDescent="0.25">
      <c r="A28" s="2" t="s">
        <v>13</v>
      </c>
      <c r="B28" s="9" t="s">
        <v>34</v>
      </c>
      <c r="C28" s="15">
        <v>1</v>
      </c>
      <c r="D28" s="18">
        <v>11500</v>
      </c>
      <c r="E28" s="16">
        <v>11500</v>
      </c>
      <c r="F28" s="3" t="s">
        <v>30</v>
      </c>
    </row>
    <row r="29" spans="1:6" x14ac:dyDescent="0.25">
      <c r="A29" s="2" t="s">
        <v>14</v>
      </c>
      <c r="B29" s="25" t="s">
        <v>35</v>
      </c>
      <c r="C29" s="30">
        <v>1</v>
      </c>
      <c r="D29" s="18">
        <v>183000</v>
      </c>
      <c r="E29" s="16"/>
      <c r="F29" s="3" t="s">
        <v>30</v>
      </c>
    </row>
    <row r="30" spans="1:6" x14ac:dyDescent="0.25">
      <c r="A30" s="2" t="s">
        <v>15</v>
      </c>
      <c r="B30" s="7" t="s">
        <v>25</v>
      </c>
      <c r="C30" s="15">
        <v>1</v>
      </c>
      <c r="D30" s="18">
        <v>10000</v>
      </c>
      <c r="E30" s="16">
        <v>10000</v>
      </c>
      <c r="F30" s="3" t="s">
        <v>30</v>
      </c>
    </row>
    <row r="31" spans="1:6" x14ac:dyDescent="0.25">
      <c r="A31" s="2"/>
      <c r="B31" s="7" t="s">
        <v>47</v>
      </c>
      <c r="C31" s="30">
        <v>1</v>
      </c>
      <c r="D31" s="18">
        <v>7000</v>
      </c>
      <c r="E31" s="16">
        <v>7000</v>
      </c>
      <c r="F31" s="3"/>
    </row>
    <row r="32" spans="1:6" ht="30" x14ac:dyDescent="0.25">
      <c r="A32" s="2" t="s">
        <v>27</v>
      </c>
      <c r="B32" s="7" t="s">
        <v>28</v>
      </c>
      <c r="C32" s="15">
        <v>1</v>
      </c>
      <c r="D32" s="18">
        <v>1000</v>
      </c>
      <c r="E32" s="16">
        <v>1000</v>
      </c>
      <c r="F32" s="3" t="s">
        <v>30</v>
      </c>
    </row>
    <row r="33" spans="1:6" x14ac:dyDescent="0.25">
      <c r="A33" s="2"/>
      <c r="B33" s="11"/>
      <c r="C33" s="12" t="s">
        <v>21</v>
      </c>
      <c r="D33" s="15"/>
      <c r="E33" s="19">
        <f>SUM(E22:E32)</f>
        <v>322500</v>
      </c>
      <c r="F33" s="3"/>
    </row>
    <row r="34" spans="1:6" x14ac:dyDescent="0.25">
      <c r="A34" s="2"/>
      <c r="B34" s="2"/>
      <c r="C34" s="12" t="s">
        <v>29</v>
      </c>
      <c r="D34" s="10"/>
      <c r="E34" s="24"/>
      <c r="F34" s="3"/>
    </row>
    <row r="35" spans="1:6" ht="15.75" x14ac:dyDescent="0.25">
      <c r="A35" s="2"/>
      <c r="B35" s="2"/>
      <c r="C35" s="6" t="s">
        <v>16</v>
      </c>
      <c r="D35" s="37"/>
      <c r="E35" s="23"/>
      <c r="F35" s="3"/>
    </row>
    <row r="36" spans="1:6" ht="15.75" x14ac:dyDescent="0.25">
      <c r="A36" s="2"/>
      <c r="B36" s="2"/>
      <c r="C36" s="6" t="s">
        <v>17</v>
      </c>
      <c r="D36" s="14"/>
      <c r="E36" s="23"/>
      <c r="F36" s="3"/>
    </row>
    <row r="38" spans="1:6" x14ac:dyDescent="0.25">
      <c r="B38" s="29" t="s">
        <v>31</v>
      </c>
    </row>
    <row r="39" spans="1:6" ht="30" x14ac:dyDescent="0.25">
      <c r="A39" s="6" t="s">
        <v>3</v>
      </c>
      <c r="B39" s="6" t="s">
        <v>4</v>
      </c>
      <c r="C39" s="6" t="s">
        <v>5</v>
      </c>
      <c r="D39" s="6" t="s">
        <v>20</v>
      </c>
      <c r="E39" s="6" t="s">
        <v>6</v>
      </c>
      <c r="F39" s="6" t="s">
        <v>18</v>
      </c>
    </row>
    <row r="40" spans="1:6" x14ac:dyDescent="0.25">
      <c r="A40" s="2" t="s">
        <v>7</v>
      </c>
      <c r="B40" s="21" t="s">
        <v>42</v>
      </c>
      <c r="C40" s="27">
        <v>1</v>
      </c>
      <c r="D40" s="18">
        <v>12000</v>
      </c>
      <c r="E40" s="16">
        <v>12000</v>
      </c>
      <c r="F40" s="3" t="s">
        <v>30</v>
      </c>
    </row>
    <row r="41" spans="1:6" ht="45" customHeight="1" x14ac:dyDescent="0.25">
      <c r="A41" s="2" t="s">
        <v>8</v>
      </c>
      <c r="B41" s="22" t="s">
        <v>26</v>
      </c>
      <c r="C41" s="27">
        <v>1</v>
      </c>
      <c r="D41" s="18">
        <v>24800</v>
      </c>
      <c r="E41" s="16">
        <v>24800</v>
      </c>
      <c r="F41" s="3" t="s">
        <v>30</v>
      </c>
    </row>
    <row r="42" spans="1:6" ht="45" x14ac:dyDescent="0.25">
      <c r="A42" s="2" t="s">
        <v>9</v>
      </c>
      <c r="B42" s="7" t="s">
        <v>38</v>
      </c>
      <c r="C42" s="27">
        <v>1</v>
      </c>
      <c r="D42" s="18">
        <v>29500</v>
      </c>
      <c r="E42" s="17">
        <v>29500</v>
      </c>
      <c r="F42" s="3" t="s">
        <v>30</v>
      </c>
    </row>
    <row r="43" spans="1:6" x14ac:dyDescent="0.25">
      <c r="A43" s="2" t="s">
        <v>10</v>
      </c>
      <c r="B43" s="3" t="s">
        <v>24</v>
      </c>
      <c r="C43" s="27">
        <v>1</v>
      </c>
      <c r="D43" s="18">
        <v>9500</v>
      </c>
      <c r="E43" s="16">
        <v>9500</v>
      </c>
      <c r="F43" s="3" t="s">
        <v>30</v>
      </c>
    </row>
    <row r="44" spans="1:6" x14ac:dyDescent="0.25">
      <c r="A44" s="2" t="s">
        <v>11</v>
      </c>
      <c r="B44" s="9" t="s">
        <v>32</v>
      </c>
      <c r="C44" s="27">
        <v>1</v>
      </c>
      <c r="D44" s="18">
        <v>100000</v>
      </c>
      <c r="E44" s="17">
        <v>100000</v>
      </c>
      <c r="F44" s="3" t="s">
        <v>30</v>
      </c>
    </row>
    <row r="45" spans="1:6" x14ac:dyDescent="0.25">
      <c r="A45" s="2" t="s">
        <v>12</v>
      </c>
      <c r="B45" s="7" t="s">
        <v>33</v>
      </c>
      <c r="C45" s="27">
        <v>1</v>
      </c>
      <c r="D45" s="18">
        <v>15800</v>
      </c>
      <c r="E45" s="16">
        <v>15800</v>
      </c>
      <c r="F45" s="3" t="s">
        <v>30</v>
      </c>
    </row>
    <row r="46" spans="1:6" x14ac:dyDescent="0.25">
      <c r="A46" s="2" t="s">
        <v>13</v>
      </c>
      <c r="B46" s="9" t="s">
        <v>34</v>
      </c>
      <c r="C46" s="27">
        <v>1</v>
      </c>
      <c r="D46" s="18">
        <v>11500</v>
      </c>
      <c r="E46" s="16">
        <v>11500</v>
      </c>
      <c r="F46" s="3" t="s">
        <v>30</v>
      </c>
    </row>
    <row r="47" spans="1:6" x14ac:dyDescent="0.25">
      <c r="A47" s="2" t="s">
        <v>14</v>
      </c>
      <c r="B47" s="25" t="s">
        <v>35</v>
      </c>
      <c r="C47" s="27">
        <v>1</v>
      </c>
      <c r="D47" s="18">
        <v>183000</v>
      </c>
      <c r="E47" s="16">
        <v>183000</v>
      </c>
      <c r="F47" s="3" t="s">
        <v>30</v>
      </c>
    </row>
    <row r="48" spans="1:6" x14ac:dyDescent="0.25">
      <c r="A48" s="2" t="s">
        <v>15</v>
      </c>
      <c r="B48" s="7" t="s">
        <v>25</v>
      </c>
      <c r="C48" s="27">
        <v>1</v>
      </c>
      <c r="D48" s="18">
        <v>10000</v>
      </c>
      <c r="E48" s="16">
        <v>10000</v>
      </c>
      <c r="F48" s="3" t="s">
        <v>30</v>
      </c>
    </row>
    <row r="49" spans="1:6" x14ac:dyDescent="0.25">
      <c r="A49" s="2" t="s">
        <v>36</v>
      </c>
      <c r="B49" s="7" t="s">
        <v>37</v>
      </c>
      <c r="C49" s="27">
        <v>1</v>
      </c>
      <c r="D49" s="18">
        <v>6800</v>
      </c>
      <c r="E49" s="16">
        <v>6800</v>
      </c>
      <c r="F49" s="3" t="s">
        <v>30</v>
      </c>
    </row>
    <row r="50" spans="1:6" ht="30" x14ac:dyDescent="0.25">
      <c r="A50" s="2" t="s">
        <v>27</v>
      </c>
      <c r="B50" s="7" t="s">
        <v>28</v>
      </c>
      <c r="C50" s="27">
        <v>1</v>
      </c>
      <c r="D50" s="18">
        <v>1000</v>
      </c>
      <c r="E50" s="16">
        <v>1500</v>
      </c>
      <c r="F50" s="3" t="s">
        <v>30</v>
      </c>
    </row>
    <row r="51" spans="1:6" x14ac:dyDescent="0.25">
      <c r="A51" s="2"/>
      <c r="B51" s="11"/>
      <c r="C51" s="12" t="s">
        <v>21</v>
      </c>
      <c r="D51" s="27"/>
      <c r="E51" s="26">
        <f>SUM(E40:E50)</f>
        <v>404400</v>
      </c>
      <c r="F51" s="3"/>
    </row>
    <row r="52" spans="1:6" x14ac:dyDescent="0.25">
      <c r="A52" s="2"/>
      <c r="B52" s="2"/>
      <c r="D52" s="10"/>
      <c r="E52" s="13">
        <f>E51*15%</f>
        <v>60660</v>
      </c>
      <c r="F52" s="3"/>
    </row>
    <row r="53" spans="1:6" ht="15.75" x14ac:dyDescent="0.25">
      <c r="A53" s="2"/>
      <c r="B53" s="2"/>
      <c r="C53" s="12" t="s">
        <v>19</v>
      </c>
      <c r="D53" s="14"/>
      <c r="E53" s="23">
        <f>SUM(E51:E52)</f>
        <v>465060</v>
      </c>
      <c r="F53" s="3"/>
    </row>
    <row r="54" spans="1:6" ht="15.75" x14ac:dyDescent="0.25">
      <c r="A54" s="2"/>
      <c r="B54" s="2"/>
      <c r="C54" s="6" t="s">
        <v>16</v>
      </c>
      <c r="D54" s="14"/>
      <c r="E54" s="23">
        <f>E53*18%</f>
        <v>83710.8</v>
      </c>
      <c r="F54" s="3"/>
    </row>
    <row r="55" spans="1:6" ht="15.75" x14ac:dyDescent="0.25">
      <c r="C55" s="6" t="s">
        <v>17</v>
      </c>
      <c r="E55" s="23">
        <f>SUM(E53:E54)</f>
        <v>548770.80000000005</v>
      </c>
    </row>
    <row r="56" spans="1:6" x14ac:dyDescent="0.25">
      <c r="E56" s="19"/>
    </row>
    <row r="58" spans="1:6" x14ac:dyDescent="0.25">
      <c r="B58" t="s">
        <v>39</v>
      </c>
    </row>
    <row r="59" spans="1:6" ht="30" x14ac:dyDescent="0.25">
      <c r="A59" s="6" t="s">
        <v>3</v>
      </c>
      <c r="B59" s="6" t="s">
        <v>4</v>
      </c>
      <c r="C59" s="6" t="s">
        <v>5</v>
      </c>
      <c r="D59" s="6" t="s">
        <v>20</v>
      </c>
      <c r="E59" s="6" t="s">
        <v>6</v>
      </c>
      <c r="F59" s="6" t="s">
        <v>18</v>
      </c>
    </row>
    <row r="60" spans="1:6" x14ac:dyDescent="0.25">
      <c r="A60" s="2" t="s">
        <v>7</v>
      </c>
      <c r="B60" s="21" t="s">
        <v>43</v>
      </c>
      <c r="C60" s="28">
        <v>1</v>
      </c>
      <c r="D60" s="18">
        <v>5500</v>
      </c>
      <c r="E60" s="16">
        <v>5900</v>
      </c>
      <c r="F60" s="3" t="s">
        <v>30</v>
      </c>
    </row>
    <row r="61" spans="1:6" x14ac:dyDescent="0.25">
      <c r="A61" s="2" t="s">
        <v>8</v>
      </c>
      <c r="B61" s="21" t="s">
        <v>22</v>
      </c>
      <c r="C61" s="28">
        <v>1</v>
      </c>
      <c r="D61" s="18">
        <v>24800</v>
      </c>
      <c r="E61" s="16">
        <v>24800</v>
      </c>
      <c r="F61" s="3" t="s">
        <v>30</v>
      </c>
    </row>
    <row r="62" spans="1:6" ht="30" x14ac:dyDescent="0.25">
      <c r="A62" s="2" t="s">
        <v>9</v>
      </c>
      <c r="B62" s="7" t="s">
        <v>23</v>
      </c>
      <c r="C62" s="28">
        <v>1</v>
      </c>
      <c r="D62" s="18">
        <v>39500</v>
      </c>
      <c r="E62" s="17">
        <v>39500</v>
      </c>
      <c r="F62" s="3" t="s">
        <v>30</v>
      </c>
    </row>
    <row r="63" spans="1:6" x14ac:dyDescent="0.25">
      <c r="A63" s="2" t="s">
        <v>10</v>
      </c>
      <c r="B63" s="3" t="s">
        <v>24</v>
      </c>
      <c r="C63" s="28">
        <v>1</v>
      </c>
      <c r="D63" s="18">
        <v>9500</v>
      </c>
      <c r="E63" s="16">
        <v>9500</v>
      </c>
      <c r="F63" s="3" t="s">
        <v>30</v>
      </c>
    </row>
    <row r="64" spans="1:6" x14ac:dyDescent="0.25">
      <c r="A64" s="2" t="s">
        <v>11</v>
      </c>
      <c r="B64" s="9" t="s">
        <v>32</v>
      </c>
      <c r="C64" s="28">
        <v>2</v>
      </c>
      <c r="D64" s="18">
        <v>100000</v>
      </c>
      <c r="E64" s="17">
        <v>200000</v>
      </c>
      <c r="F64" s="3" t="s">
        <v>30</v>
      </c>
    </row>
    <row r="65" spans="1:6" x14ac:dyDescent="0.25">
      <c r="A65" s="2" t="s">
        <v>12</v>
      </c>
      <c r="B65" s="7" t="s">
        <v>40</v>
      </c>
      <c r="C65" s="28">
        <v>1</v>
      </c>
      <c r="D65" s="18">
        <v>26500</v>
      </c>
      <c r="E65" s="16">
        <v>26500</v>
      </c>
      <c r="F65" s="3" t="s">
        <v>30</v>
      </c>
    </row>
    <row r="66" spans="1:6" x14ac:dyDescent="0.25">
      <c r="A66" s="2" t="s">
        <v>13</v>
      </c>
      <c r="B66" s="9" t="s">
        <v>34</v>
      </c>
      <c r="C66" s="28">
        <v>1</v>
      </c>
      <c r="D66" s="18">
        <v>12000</v>
      </c>
      <c r="E66" s="16">
        <v>12000</v>
      </c>
      <c r="F66" s="3" t="s">
        <v>30</v>
      </c>
    </row>
    <row r="67" spans="1:6" x14ac:dyDescent="0.25">
      <c r="A67" s="2" t="s">
        <v>14</v>
      </c>
      <c r="B67" s="25" t="s">
        <v>41</v>
      </c>
      <c r="C67" s="28">
        <v>1</v>
      </c>
      <c r="D67" s="18">
        <v>720000</v>
      </c>
      <c r="E67" s="16">
        <v>720000</v>
      </c>
      <c r="F67" s="3" t="s">
        <v>30</v>
      </c>
    </row>
    <row r="68" spans="1:6" x14ac:dyDescent="0.25">
      <c r="A68" s="2" t="s">
        <v>15</v>
      </c>
      <c r="B68" s="7" t="s">
        <v>25</v>
      </c>
      <c r="C68" s="28">
        <v>1</v>
      </c>
      <c r="D68" s="18">
        <v>10000</v>
      </c>
      <c r="E68" s="16">
        <v>10000</v>
      </c>
      <c r="F68" s="3" t="s">
        <v>30</v>
      </c>
    </row>
    <row r="69" spans="1:6" x14ac:dyDescent="0.25">
      <c r="A69" s="2" t="s">
        <v>36</v>
      </c>
      <c r="B69" s="7" t="s">
        <v>37</v>
      </c>
      <c r="C69" s="28">
        <v>1</v>
      </c>
      <c r="D69" s="18">
        <v>6800</v>
      </c>
      <c r="E69" s="16">
        <v>6800</v>
      </c>
      <c r="F69" s="3" t="s">
        <v>30</v>
      </c>
    </row>
    <row r="70" spans="1:6" ht="30" x14ac:dyDescent="0.25">
      <c r="A70" s="2" t="s">
        <v>27</v>
      </c>
      <c r="B70" s="7" t="s">
        <v>28</v>
      </c>
      <c r="C70" s="28">
        <v>1</v>
      </c>
      <c r="D70" s="18">
        <v>1000</v>
      </c>
      <c r="E70" s="16">
        <v>1000</v>
      </c>
      <c r="F70" s="3" t="s">
        <v>30</v>
      </c>
    </row>
    <row r="71" spans="1:6" x14ac:dyDescent="0.25">
      <c r="A71" s="2"/>
      <c r="B71" s="11"/>
      <c r="C71" s="12" t="s">
        <v>21</v>
      </c>
      <c r="D71" s="28"/>
      <c r="E71" s="26">
        <f>SUM(E60:E70)</f>
        <v>1056000</v>
      </c>
      <c r="F71" s="3"/>
    </row>
    <row r="72" spans="1:6" x14ac:dyDescent="0.25">
      <c r="A72" s="2"/>
      <c r="B72" s="2"/>
      <c r="D72" s="10"/>
      <c r="E72" s="13">
        <f>E71*15%</f>
        <v>158400</v>
      </c>
      <c r="F72" s="3"/>
    </row>
    <row r="73" spans="1:6" ht="15.75" x14ac:dyDescent="0.25">
      <c r="A73" s="2"/>
      <c r="B73" s="2"/>
      <c r="C73" s="12" t="s">
        <v>19</v>
      </c>
      <c r="D73" s="14"/>
      <c r="E73" s="23">
        <f>SUM(E71:E72)</f>
        <v>1214400</v>
      </c>
      <c r="F73" s="3"/>
    </row>
    <row r="74" spans="1:6" ht="15.75" x14ac:dyDescent="0.25">
      <c r="A74" s="2"/>
      <c r="B74" s="2"/>
      <c r="C74" s="6" t="s">
        <v>16</v>
      </c>
      <c r="D74" s="14"/>
      <c r="E74" s="23">
        <f>E73*18%</f>
        <v>218592</v>
      </c>
      <c r="F74" s="3"/>
    </row>
    <row r="75" spans="1:6" ht="15.75" x14ac:dyDescent="0.25">
      <c r="C75" s="6" t="s">
        <v>17</v>
      </c>
      <c r="E75" s="23">
        <f>SUM(E73:E74)</f>
        <v>1432992</v>
      </c>
    </row>
    <row r="78" spans="1:6" ht="30" x14ac:dyDescent="0.25">
      <c r="A78" s="6" t="s">
        <v>3</v>
      </c>
      <c r="B78" s="6" t="s">
        <v>4</v>
      </c>
      <c r="C78" s="6" t="s">
        <v>5</v>
      </c>
      <c r="D78" s="6" t="s">
        <v>20</v>
      </c>
      <c r="E78" s="6" t="s">
        <v>6</v>
      </c>
      <c r="F78" s="6" t="s">
        <v>18</v>
      </c>
    </row>
    <row r="79" spans="1:6" x14ac:dyDescent="0.25">
      <c r="A79" s="2" t="s">
        <v>7</v>
      </c>
      <c r="B79" s="21" t="s">
        <v>42</v>
      </c>
      <c r="C79" s="30">
        <v>1</v>
      </c>
      <c r="D79" s="18">
        <v>12000</v>
      </c>
      <c r="E79" s="16">
        <v>12000</v>
      </c>
      <c r="F79" s="3" t="s">
        <v>30</v>
      </c>
    </row>
    <row r="80" spans="1:6" ht="30" x14ac:dyDescent="0.25">
      <c r="A80" s="2" t="s">
        <v>8</v>
      </c>
      <c r="B80" s="22" t="s">
        <v>26</v>
      </c>
      <c r="C80" s="30">
        <v>1</v>
      </c>
      <c r="D80" s="18">
        <v>24800</v>
      </c>
      <c r="E80" s="16">
        <v>24800</v>
      </c>
      <c r="F80" s="3" t="s">
        <v>30</v>
      </c>
    </row>
    <row r="81" spans="1:6" ht="45" x14ac:dyDescent="0.25">
      <c r="A81" s="2" t="s">
        <v>9</v>
      </c>
      <c r="B81" s="7" t="s">
        <v>38</v>
      </c>
      <c r="C81" s="30">
        <v>1</v>
      </c>
      <c r="D81" s="18">
        <v>29500</v>
      </c>
      <c r="E81" s="17">
        <v>29500</v>
      </c>
      <c r="F81" s="3" t="s">
        <v>30</v>
      </c>
    </row>
    <row r="82" spans="1:6" x14ac:dyDescent="0.25">
      <c r="A82" s="2" t="s">
        <v>10</v>
      </c>
      <c r="B82" s="3" t="s">
        <v>24</v>
      </c>
      <c r="C82" s="30">
        <v>1</v>
      </c>
      <c r="D82" s="18">
        <v>9500</v>
      </c>
      <c r="E82" s="16">
        <v>9500</v>
      </c>
      <c r="F82" s="3" t="s">
        <v>30</v>
      </c>
    </row>
    <row r="83" spans="1:6" x14ac:dyDescent="0.25">
      <c r="A83" s="2" t="s">
        <v>11</v>
      </c>
      <c r="B83" s="9" t="s">
        <v>32</v>
      </c>
      <c r="C83" s="30">
        <v>1</v>
      </c>
      <c r="D83" s="18">
        <v>100000</v>
      </c>
      <c r="E83" s="17">
        <v>100000</v>
      </c>
      <c r="F83" s="3" t="s">
        <v>30</v>
      </c>
    </row>
    <row r="84" spans="1:6" x14ac:dyDescent="0.25">
      <c r="A84" s="2" t="s">
        <v>12</v>
      </c>
      <c r="B84" s="7" t="s">
        <v>33</v>
      </c>
      <c r="C84" s="30">
        <v>1</v>
      </c>
      <c r="D84" s="18">
        <v>15800</v>
      </c>
      <c r="E84" s="16">
        <v>15800</v>
      </c>
      <c r="F84" s="3" t="s">
        <v>30</v>
      </c>
    </row>
    <row r="85" spans="1:6" x14ac:dyDescent="0.25">
      <c r="A85" s="2" t="s">
        <v>13</v>
      </c>
      <c r="B85" s="9" t="s">
        <v>34</v>
      </c>
      <c r="C85" s="30">
        <v>1</v>
      </c>
      <c r="D85" s="18">
        <v>11500</v>
      </c>
      <c r="E85" s="16">
        <v>11500</v>
      </c>
      <c r="F85" s="3" t="s">
        <v>30</v>
      </c>
    </row>
    <row r="86" spans="1:6" x14ac:dyDescent="0.25">
      <c r="A86" s="2" t="s">
        <v>14</v>
      </c>
      <c r="B86" s="25" t="s">
        <v>35</v>
      </c>
      <c r="C86" s="30">
        <v>1</v>
      </c>
      <c r="D86" s="18">
        <v>183000</v>
      </c>
      <c r="E86" s="16">
        <v>183000</v>
      </c>
      <c r="F86" s="3" t="s">
        <v>30</v>
      </c>
    </row>
    <row r="87" spans="1:6" x14ac:dyDescent="0.25">
      <c r="A87" s="2" t="s">
        <v>15</v>
      </c>
      <c r="B87" s="7" t="s">
        <v>25</v>
      </c>
      <c r="C87" s="30">
        <v>1</v>
      </c>
      <c r="D87" s="18">
        <v>10000</v>
      </c>
      <c r="E87" s="16">
        <v>10000</v>
      </c>
      <c r="F87" s="3" t="s">
        <v>30</v>
      </c>
    </row>
    <row r="88" spans="1:6" x14ac:dyDescent="0.25">
      <c r="A88" s="2" t="s">
        <v>36</v>
      </c>
      <c r="B88" s="7" t="s">
        <v>37</v>
      </c>
      <c r="C88" s="30">
        <v>1</v>
      </c>
      <c r="D88" s="18">
        <v>6800</v>
      </c>
      <c r="E88" s="16">
        <v>6800</v>
      </c>
      <c r="F88" s="3" t="s">
        <v>30</v>
      </c>
    </row>
    <row r="89" spans="1:6" ht="30" x14ac:dyDescent="0.25">
      <c r="A89" s="2" t="s">
        <v>27</v>
      </c>
      <c r="B89" s="7" t="s">
        <v>28</v>
      </c>
      <c r="C89" s="30">
        <v>1</v>
      </c>
      <c r="D89" s="18">
        <v>1000</v>
      </c>
      <c r="E89" s="16">
        <v>1500</v>
      </c>
      <c r="F89" s="3" t="s">
        <v>30</v>
      </c>
    </row>
    <row r="90" spans="1:6" x14ac:dyDescent="0.25">
      <c r="A90" s="2"/>
      <c r="B90" s="11"/>
      <c r="C90" s="12" t="s">
        <v>21</v>
      </c>
      <c r="D90" s="30"/>
      <c r="E90" s="26">
        <f>SUM(E79:E89)</f>
        <v>404400</v>
      </c>
      <c r="F90" s="3"/>
    </row>
    <row r="91" spans="1:6" x14ac:dyDescent="0.25">
      <c r="A91" s="2"/>
      <c r="B91" s="2"/>
      <c r="D91" s="10"/>
      <c r="E91" s="13">
        <f>E90*15%</f>
        <v>60660</v>
      </c>
      <c r="F91" s="3"/>
    </row>
    <row r="92" spans="1:6" ht="15.75" x14ac:dyDescent="0.25">
      <c r="A92" s="2"/>
      <c r="B92" s="2"/>
      <c r="C92" s="12" t="s">
        <v>19</v>
      </c>
      <c r="D92" s="14"/>
      <c r="E92" s="23">
        <f>SUM(E90:E91)</f>
        <v>465060</v>
      </c>
      <c r="F92" s="3"/>
    </row>
    <row r="93" spans="1:6" ht="15.75" x14ac:dyDescent="0.25">
      <c r="A93" s="2"/>
      <c r="B93" s="2"/>
      <c r="C93" s="6" t="s">
        <v>16</v>
      </c>
      <c r="D93" s="14"/>
      <c r="E93" s="23">
        <f>E92*18%</f>
        <v>83710.8</v>
      </c>
      <c r="F93" s="3"/>
    </row>
    <row r="94" spans="1:6" ht="15.75" x14ac:dyDescent="0.25">
      <c r="C94" s="6" t="s">
        <v>17</v>
      </c>
      <c r="E94" s="23">
        <f>SUM(E92:E93)</f>
        <v>548770.80000000005</v>
      </c>
    </row>
    <row r="99" spans="4:5" x14ac:dyDescent="0.25">
      <c r="E99" s="38">
        <v>99500</v>
      </c>
    </row>
    <row r="100" spans="4:5" x14ac:dyDescent="0.25">
      <c r="E100" s="38">
        <f>E99*18%</f>
        <v>17910</v>
      </c>
    </row>
    <row r="101" spans="4:5" x14ac:dyDescent="0.25">
      <c r="E101" s="38">
        <f>SUM(E99:E100)</f>
        <v>117410</v>
      </c>
    </row>
    <row r="104" spans="4:5" x14ac:dyDescent="0.25">
      <c r="E104" s="38">
        <v>205500</v>
      </c>
    </row>
    <row r="105" spans="4:5" x14ac:dyDescent="0.25">
      <c r="E105" s="38">
        <f>E104*18%</f>
        <v>36990</v>
      </c>
    </row>
    <row r="106" spans="4:5" x14ac:dyDescent="0.25">
      <c r="E106" s="38">
        <f>SUM(E104:E105)</f>
        <v>242490</v>
      </c>
    </row>
    <row r="107" spans="4:5" x14ac:dyDescent="0.25">
      <c r="D107">
        <v>555000</v>
      </c>
    </row>
    <row r="108" spans="4:5" x14ac:dyDescent="0.25">
      <c r="D108">
        <f>D107*10%</f>
        <v>55500</v>
      </c>
    </row>
    <row r="109" spans="4:5" x14ac:dyDescent="0.25">
      <c r="D109" s="38">
        <f>SUM(D107:D108)</f>
        <v>610500</v>
      </c>
    </row>
    <row r="110" spans="4:5" x14ac:dyDescent="0.25">
      <c r="D110" s="38">
        <f>D109*18%</f>
        <v>109890</v>
      </c>
    </row>
    <row r="111" spans="4:5" x14ac:dyDescent="0.25">
      <c r="D111" s="38">
        <f>SUM(D109:D110)</f>
        <v>720390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2026-09-21T04:50:33Z</dcterms:modified>
</cp:coreProperties>
</file>