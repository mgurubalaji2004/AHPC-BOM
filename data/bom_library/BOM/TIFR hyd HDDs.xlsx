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1" i="1"/>
  <c r="E20" i="1"/>
  <c r="E19" i="1"/>
  <c r="E18" i="1"/>
  <c r="E15" i="1"/>
  <c r="E14" i="1"/>
  <c r="E8" i="1"/>
  <c r="E7" i="1"/>
  <c r="E11" i="1"/>
  <c r="E12" i="1" s="1"/>
  <c r="E4" i="1" l="1"/>
  <c r="E5" i="1" l="1"/>
</calcChain>
</file>

<file path=xl/sharedStrings.xml><?xml version="1.0" encoding="utf-8"?>
<sst xmlns="http://schemas.openxmlformats.org/spreadsheetml/2006/main" count="29" uniqueCount="17">
  <si>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</si>
  <si>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</si>
  <si>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</si>
  <si>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</si>
  <si>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</si>
  <si>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</si>
  <si>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</si>
  <si>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GST -18%</t>
  </si>
  <si>
    <t>Total Price</t>
  </si>
  <si>
    <t>Unit Prize</t>
  </si>
  <si>
    <t>Sub Total</t>
  </si>
  <si>
    <t>From</t>
  </si>
  <si>
    <t>Margin-12%</t>
  </si>
  <si>
    <t>16TB Enterprise SATA HDD</t>
  </si>
  <si>
    <t>480 GB Enterprise SATA SSD</t>
  </si>
  <si>
    <t>8 TB Enterprise SAS HDD</t>
  </si>
  <si>
    <t>1000W SMPS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</si>
</sst>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4" borderId="1" xfId="0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center" readingOrder="1"/>
    </xf>
    <xf numFmtId="4" fontId="5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 readingOrder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Normal="100" workbookViewId="0">
      <selection activeCell="E25" sqref="E25:E2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style="30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3"/>
      <c r="F1" s="3"/>
    </row>
    <row r="2" spans="1:6" x14ac:dyDescent="0.25">
      <c r="A2" s="4" t="s">
        <v>1</v>
      </c>
      <c r="B2" s="2"/>
      <c r="C2" s="5" t="s">
        <v>2</v>
      </c>
      <c r="D2" s="19"/>
      <c r="E2" s="2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9</v>
      </c>
      <c r="E3" s="24" t="s">
        <v>6</v>
      </c>
      <c r="F3" s="6" t="s">
        <v>11</v>
      </c>
    </row>
    <row r="4" spans="1:6" ht="15.75" x14ac:dyDescent="0.25">
      <c r="A4" s="7"/>
      <c r="B4" s="17" t="s">
        <v>13</v>
      </c>
      <c r="C4" s="8">
        <v>6</v>
      </c>
      <c r="D4" s="9">
        <v>65000</v>
      </c>
      <c r="E4" s="25">
        <f>D4*6</f>
        <v>390000</v>
      </c>
      <c r="F4" s="10"/>
    </row>
    <row r="5" spans="1:6" ht="16.149999999999999" customHeight="1" x14ac:dyDescent="0.25">
      <c r="A5" s="7"/>
      <c r="B5" s="11"/>
      <c r="C5" s="12" t="s">
        <v>10</v>
      </c>
      <c r="D5" s="13"/>
      <c r="E5" s="26">
        <f>SUM(E4:E4)</f>
        <v>390000</v>
      </c>
      <c r="F5" s="10"/>
    </row>
    <row r="6" spans="1:6" ht="18" customHeight="1" x14ac:dyDescent="0.25">
      <c r="A6" s="7"/>
      <c r="B6" s="7"/>
      <c r="C6" s="12" t="s">
        <v>12</v>
      </c>
      <c r="D6" s="14"/>
      <c r="E6" s="27">
        <v>436800</v>
      </c>
      <c r="F6" s="10"/>
    </row>
    <row r="7" spans="1:6" ht="15.75" x14ac:dyDescent="0.25">
      <c r="A7" s="7"/>
      <c r="B7" s="7"/>
      <c r="C7" s="15" t="s">
        <v>7</v>
      </c>
      <c r="D7" s="16"/>
      <c r="E7" s="28">
        <f>E6*18%</f>
        <v>78624</v>
      </c>
      <c r="F7" s="10"/>
    </row>
    <row r="8" spans="1:6" ht="15.75" x14ac:dyDescent="0.25">
      <c r="A8" s="7"/>
      <c r="B8" s="7"/>
      <c r="C8" s="15" t="s">
        <v>8</v>
      </c>
      <c r="D8" s="16"/>
      <c r="E8" s="28">
        <f>SUM(E6:E7)</f>
        <v>515424</v>
      </c>
      <c r="F8" s="10"/>
    </row>
    <row r="11" spans="1:6" ht="15.75" x14ac:dyDescent="0.25">
      <c r="B11" s="21" t="s">
        <v>14</v>
      </c>
      <c r="C11" s="8">
        <v>6</v>
      </c>
      <c r="D11" s="9">
        <v>30600</v>
      </c>
      <c r="E11" s="25">
        <f>D11*6</f>
        <v>183600</v>
      </c>
    </row>
    <row r="12" spans="1:6" ht="15.75" x14ac:dyDescent="0.25">
      <c r="B12" s="11"/>
      <c r="C12" s="12" t="s">
        <v>10</v>
      </c>
      <c r="D12" s="13"/>
      <c r="E12" s="27">
        <f>SUM(E10:E11)</f>
        <v>183600</v>
      </c>
    </row>
    <row r="13" spans="1:6" ht="15.75" x14ac:dyDescent="0.25">
      <c r="B13" s="7"/>
      <c r="C13" s="12" t="s">
        <v>12</v>
      </c>
      <c r="D13" s="14"/>
      <c r="E13" s="27">
        <v>205632</v>
      </c>
    </row>
    <row r="14" spans="1:6" ht="15.75" x14ac:dyDescent="0.25">
      <c r="B14" s="7"/>
      <c r="C14" s="15" t="s">
        <v>7</v>
      </c>
      <c r="D14" s="16"/>
      <c r="E14" s="28">
        <f>E12*18%</f>
        <v>33048</v>
      </c>
    </row>
    <row r="15" spans="1:6" ht="15.75" x14ac:dyDescent="0.25">
      <c r="B15" s="7"/>
      <c r="C15" s="15" t="s">
        <v>8</v>
      </c>
      <c r="D15" s="16"/>
      <c r="E15" s="28">
        <f>SUM(E13:E14)</f>
        <v>238680</v>
      </c>
    </row>
    <row r="17" spans="2:5" ht="15.75" x14ac:dyDescent="0.25">
      <c r="B17" s="18" t="s">
        <v>15</v>
      </c>
      <c r="C17" s="8">
        <v>1</v>
      </c>
      <c r="D17" s="9">
        <v>36000</v>
      </c>
      <c r="E17" s="29">
        <v>36000</v>
      </c>
    </row>
    <row r="18" spans="2:5" ht="15.75" x14ac:dyDescent="0.25">
      <c r="B18" s="11"/>
      <c r="C18" s="12" t="s">
        <v>10</v>
      </c>
      <c r="D18" s="13"/>
      <c r="E18" s="27">
        <f>E17*12%</f>
        <v>4320</v>
      </c>
    </row>
    <row r="19" spans="2:5" ht="15.75" x14ac:dyDescent="0.25">
      <c r="B19" s="7"/>
      <c r="C19" s="12" t="s">
        <v>12</v>
      </c>
      <c r="D19" s="14"/>
      <c r="E19" s="27">
        <f>SUM(E17:E18)</f>
        <v>40320</v>
      </c>
    </row>
    <row r="20" spans="2:5" ht="15.75" x14ac:dyDescent="0.25">
      <c r="B20" s="7"/>
      <c r="C20" s="15" t="s">
        <v>7</v>
      </c>
      <c r="D20" s="16"/>
      <c r="E20" s="28">
        <f>E19*18%</f>
        <v>7257.5999999999995</v>
      </c>
    </row>
    <row r="21" spans="2:5" ht="15.75" x14ac:dyDescent="0.25">
      <c r="B21" s="7"/>
      <c r="C21" s="15" t="s">
        <v>8</v>
      </c>
      <c r="D21" s="16"/>
      <c r="E21" s="28">
        <f>SUM(E19:E20)</f>
        <v>47577.599999999999</v>
      </c>
    </row>
    <row r="23" spans="2:5" ht="15.75" x14ac:dyDescent="0.25">
      <c r="B23" s="22" t="s">
        <v>16</v>
      </c>
      <c r="C23" s="8">
        <v>1</v>
      </c>
      <c r="D23" s="9">
        <v>15000</v>
      </c>
      <c r="E23" s="29">
        <v>15000</v>
      </c>
    </row>
    <row r="24" spans="2:5" ht="15.75" x14ac:dyDescent="0.25">
      <c r="B24" s="11"/>
      <c r="C24" s="12" t="s">
        <v>10</v>
      </c>
      <c r="D24" s="13"/>
      <c r="E24" s="27">
        <f>E23*12%</f>
        <v>1800</v>
      </c>
    </row>
    <row r="25" spans="2:5" ht="15.75" x14ac:dyDescent="0.25">
      <c r="B25" s="7"/>
      <c r="C25" s="12" t="s">
        <v>12</v>
      </c>
      <c r="D25" s="14"/>
      <c r="E25" s="27">
        <f>SUM(E23:E24)</f>
        <v>16800</v>
      </c>
    </row>
    <row r="26" spans="2:5" ht="15.75" x14ac:dyDescent="0.25">
      <c r="B26" s="7"/>
      <c r="C26" s="15" t="s">
        <v>7</v>
      </c>
      <c r="D26" s="16"/>
      <c r="E26" s="28">
        <f>E25*18%</f>
        <v>3024</v>
      </c>
    </row>
    <row r="27" spans="2:5" ht="15.75" x14ac:dyDescent="0.25">
      <c r="B27" s="7"/>
      <c r="C27" s="15" t="s">
        <v>8</v>
      </c>
      <c r="D27" s="16"/>
      <c r="E27" s="28">
        <f>SUM(E25:E26)</f>
        <v>19824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2026-08-14T07:34:03Z</dcterms:modified>
</cp:coreProperties>
</file>