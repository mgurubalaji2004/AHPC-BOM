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32" i="1"/>
  <c r="F31" i="1"/>
  <c r="E26" i="1" l="1"/>
  <c r="E29" i="1" s="1"/>
  <c r="E25" i="1"/>
  <c r="E24" i="1"/>
  <c r="E22" i="1"/>
  <c r="E13" i="1"/>
  <c r="E30" i="1" l="1"/>
  <c r="E31" i="1" s="1"/>
  <c r="E10" i="1"/>
  <c r="E9" i="1"/>
  <c r="E8" i="1"/>
  <c r="E6" i="1"/>
  <c r="E32" i="1" l="1"/>
  <c r="E33" i="1" s="1"/>
  <c r="E12" i="1"/>
  <c r="E14" i="1" s="1"/>
  <c r="E15" i="1" l="1"/>
  <c r="E16" i="1" s="1"/>
</calcChain>
</file>

<file path=xl/sharedStrings.xml><?xml version="1.0" encoding="utf-8"?>
<sst xmlns="http://schemas.openxmlformats.org/spreadsheetml/2006/main" count="70" uniqueCount="31">
  <si>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</si>
  <si>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</si>
  <si>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</si>
  <si>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</si>
  <si>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</si>
  <si>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</si>
  <si>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</si>
  <si>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</si>
  <si>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</si>
  <si>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</si>
  <si>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</si>
  <si>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</si>
  <si>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</si>
  <si>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</si>
  <si>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</si>
  <si>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</si>
  <si>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</si>
  <si>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</si>
  <si>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From</t>
  </si>
  <si>
    <t>4U Rackmountable Chassis  Chenbro</t>
  </si>
  <si>
    <t>MS73-HB2 Intel® C741 Chipset with 16 x DIMMs</t>
  </si>
  <si>
    <t>arihant</t>
  </si>
  <si>
    <t>Intel® Xeon® Gold 5418Y Processor (24-Cores, Base Freq 2.00GHz, Max Freq 3.8GHz, 45MB)</t>
  </si>
  <si>
    <t>Dynatron S6</t>
  </si>
  <si>
    <t>64GB DDR5 4800 ECC</t>
  </si>
  <si>
    <t>960GB SATA SSD</t>
  </si>
  <si>
    <t>GPU</t>
  </si>
  <si>
    <t>NVIDIA H200 NVL 141GB</t>
  </si>
  <si>
    <t>3200W</t>
  </si>
  <si>
    <t>Margin(15%)</t>
  </si>
  <si>
    <t>7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</si>
</sst>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readingOrder="1"/>
    </xf>
    <xf numFmtId="0" fontId="0" fillId="0" borderId="0" xfId="0" applyFont="1" applyAlignment="1">
      <alignment horizontal="left" vertical="center" wrapText="1"/>
    </xf>
    <xf numFmtId="3" fontId="0" fillId="0" borderId="1" xfId="0" applyNumberFormat="1" applyFont="1" applyBorder="1" applyAlignment="1">
      <alignment horizontal="right" readingOrder="1"/>
    </xf>
    <xf numFmtId="0" fontId="0" fillId="0" borderId="0" xfId="0" applyFont="1"/>
    <xf numFmtId="0" fontId="1" fillId="0" borderId="1" xfId="0" applyFont="1" applyBorder="1"/>
    <xf numFmtId="3" fontId="0" fillId="0" borderId="1" xfId="0" applyNumberFormat="1" applyFont="1" applyBorder="1" applyAlignment="1">
      <alignment horizontal="right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4" fontId="0" fillId="0" borderId="2" xfId="0" applyNumberFormat="1" applyFont="1" applyBorder="1" applyAlignment="1">
      <alignment horizontal="center" wrapText="1"/>
    </xf>
    <xf numFmtId="4" fontId="0" fillId="0" borderId="1" xfId="0" applyNumberFormat="1" applyBorder="1" applyAlignment="1">
      <alignment horizontal="right"/>
    </xf>
    <xf numFmtId="0" fontId="0" fillId="0" borderId="3" xfId="0" applyFont="1" applyBorder="1"/>
    <xf numFmtId="4" fontId="0" fillId="0" borderId="2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 vertical="center" wrapText="1"/>
    </xf>
    <xf numFmtId="4" fontId="0" fillId="5" borderId="2" xfId="0" applyNumberFormat="1" applyFont="1" applyFill="1" applyBorder="1" applyAlignment="1">
      <alignment horizontal="center" vertical="top"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4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16" zoomScale="95" zoomScaleNormal="175" workbookViewId="0">
      <selection activeCell="B22" sqref="B22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.710937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18</v>
      </c>
    </row>
    <row r="4" spans="1:6" x14ac:dyDescent="0.25">
      <c r="A4" s="2" t="s">
        <v>7</v>
      </c>
      <c r="B4" s="11" t="s">
        <v>19</v>
      </c>
      <c r="C4" s="7">
        <v>1</v>
      </c>
      <c r="D4" s="8">
        <v>70000</v>
      </c>
      <c r="E4" s="12">
        <v>70000</v>
      </c>
      <c r="F4" s="3" t="s">
        <v>21</v>
      </c>
    </row>
    <row r="5" spans="1:6" x14ac:dyDescent="0.25">
      <c r="A5" s="2" t="s">
        <v>8</v>
      </c>
      <c r="B5" s="13" t="s">
        <v>20</v>
      </c>
      <c r="C5" s="7">
        <v>1</v>
      </c>
      <c r="D5" s="8">
        <v>99000</v>
      </c>
      <c r="E5" s="12">
        <v>99000</v>
      </c>
      <c r="F5" s="3" t="s">
        <v>21</v>
      </c>
    </row>
    <row r="6" spans="1:6" ht="30" x14ac:dyDescent="0.25">
      <c r="A6" s="2" t="s">
        <v>9</v>
      </c>
      <c r="B6" s="9" t="s">
        <v>22</v>
      </c>
      <c r="C6" s="7">
        <v>2</v>
      </c>
      <c r="D6" s="8">
        <v>133000</v>
      </c>
      <c r="E6" s="14">
        <f>D6*2</f>
        <v>266000</v>
      </c>
      <c r="F6" s="3" t="s">
        <v>21</v>
      </c>
    </row>
    <row r="7" spans="1:6" x14ac:dyDescent="0.25">
      <c r="A7" s="2" t="s">
        <v>10</v>
      </c>
      <c r="B7" s="15" t="s">
        <v>23</v>
      </c>
      <c r="C7" s="7">
        <v>2</v>
      </c>
      <c r="D7" s="8">
        <v>7500</v>
      </c>
      <c r="E7" s="14">
        <v>15000</v>
      </c>
      <c r="F7" s="3" t="s">
        <v>21</v>
      </c>
    </row>
    <row r="8" spans="1:6" x14ac:dyDescent="0.25">
      <c r="A8" s="2" t="s">
        <v>11</v>
      </c>
      <c r="B8" s="10" t="s">
        <v>24</v>
      </c>
      <c r="C8" s="7">
        <v>4</v>
      </c>
      <c r="D8" s="8">
        <v>220000</v>
      </c>
      <c r="E8" s="14">
        <f>D8*4</f>
        <v>880000</v>
      </c>
      <c r="F8" s="3" t="s">
        <v>21</v>
      </c>
    </row>
    <row r="9" spans="1:6" x14ac:dyDescent="0.25">
      <c r="A9" s="2" t="s">
        <v>12</v>
      </c>
      <c r="B9" s="16" t="s">
        <v>25</v>
      </c>
      <c r="C9" s="7">
        <v>2</v>
      </c>
      <c r="D9" s="8">
        <v>55000</v>
      </c>
      <c r="E9" s="14">
        <f>D9*2</f>
        <v>110000</v>
      </c>
      <c r="F9" s="3" t="s">
        <v>21</v>
      </c>
    </row>
    <row r="10" spans="1:6" x14ac:dyDescent="0.25">
      <c r="A10" s="2" t="s">
        <v>26</v>
      </c>
      <c r="B10" s="3" t="s">
        <v>27</v>
      </c>
      <c r="C10" s="7">
        <v>2</v>
      </c>
      <c r="D10" s="8">
        <v>4000000</v>
      </c>
      <c r="E10" s="17">
        <f>D10*2</f>
        <v>8000000</v>
      </c>
      <c r="F10" s="3"/>
    </row>
    <row r="11" spans="1:6" x14ac:dyDescent="0.25">
      <c r="A11" s="2" t="s">
        <v>13</v>
      </c>
      <c r="B11" s="3" t="s">
        <v>28</v>
      </c>
      <c r="C11" s="7">
        <v>1</v>
      </c>
      <c r="D11" s="18">
        <v>75000</v>
      </c>
      <c r="E11" s="19">
        <v>75000</v>
      </c>
      <c r="F11" s="3" t="s">
        <v>21</v>
      </c>
    </row>
    <row r="12" spans="1:6" ht="14.25" customHeight="1" x14ac:dyDescent="0.25">
      <c r="A12" s="2"/>
      <c r="B12" s="20"/>
      <c r="C12" s="21" t="s">
        <v>17</v>
      </c>
      <c r="D12" s="22"/>
      <c r="E12" s="23">
        <f>SUM(E4:E11)</f>
        <v>9515000</v>
      </c>
      <c r="F12" s="24"/>
    </row>
    <row r="13" spans="1:6" ht="16.149999999999999" customHeight="1" x14ac:dyDescent="0.25">
      <c r="A13" s="2"/>
      <c r="B13" s="20"/>
      <c r="C13" s="21"/>
      <c r="D13" s="22"/>
      <c r="E13" s="23">
        <f>E12*15%</f>
        <v>1427250</v>
      </c>
      <c r="F13" s="24"/>
    </row>
    <row r="14" spans="1:6" ht="16.149999999999999" customHeight="1" x14ac:dyDescent="0.25">
      <c r="A14" s="2"/>
      <c r="B14" s="2"/>
      <c r="C14" s="21" t="s">
        <v>29</v>
      </c>
      <c r="D14" s="25"/>
      <c r="E14" s="26">
        <f>SUM(E12:E13)</f>
        <v>10942250</v>
      </c>
      <c r="F14" s="24"/>
    </row>
    <row r="15" spans="1:6" ht="18" customHeight="1" x14ac:dyDescent="0.25">
      <c r="A15" s="2"/>
      <c r="B15" s="2"/>
      <c r="C15" s="6" t="s">
        <v>14</v>
      </c>
      <c r="D15" s="27"/>
      <c r="E15" s="26">
        <f>E14*18%</f>
        <v>1969605</v>
      </c>
      <c r="F15" s="24"/>
    </row>
    <row r="16" spans="1:6" ht="15.75" x14ac:dyDescent="0.25">
      <c r="A16" s="2"/>
      <c r="B16" s="2"/>
      <c r="C16" s="6" t="s">
        <v>15</v>
      </c>
      <c r="D16" s="27"/>
      <c r="E16" s="26">
        <f>SUM(E14:E15)</f>
        <v>12911855</v>
      </c>
      <c r="F16" s="24"/>
    </row>
    <row r="19" spans="1:6" x14ac:dyDescent="0.25">
      <c r="A19" s="6" t="s">
        <v>3</v>
      </c>
      <c r="B19" s="6" t="s">
        <v>4</v>
      </c>
      <c r="C19" s="6" t="s">
        <v>5</v>
      </c>
      <c r="D19" s="6" t="s">
        <v>16</v>
      </c>
      <c r="E19" s="6" t="s">
        <v>6</v>
      </c>
      <c r="F19" s="6" t="s">
        <v>18</v>
      </c>
    </row>
    <row r="20" spans="1:6" x14ac:dyDescent="0.25">
      <c r="A20" s="2" t="s">
        <v>7</v>
      </c>
      <c r="B20" s="11" t="s">
        <v>19</v>
      </c>
      <c r="C20" s="7">
        <v>1</v>
      </c>
      <c r="D20" s="8">
        <v>70000</v>
      </c>
      <c r="E20" s="12">
        <v>175000</v>
      </c>
      <c r="F20" s="3" t="s">
        <v>21</v>
      </c>
    </row>
    <row r="21" spans="1:6" x14ac:dyDescent="0.25">
      <c r="A21" s="2" t="s">
        <v>8</v>
      </c>
      <c r="B21" s="13" t="s">
        <v>20</v>
      </c>
      <c r="C21" s="7">
        <v>1</v>
      </c>
      <c r="D21" s="8">
        <v>99000</v>
      </c>
      <c r="E21" s="12">
        <v>99000</v>
      </c>
      <c r="F21" s="3" t="s">
        <v>21</v>
      </c>
    </row>
    <row r="22" spans="1:6" ht="30" x14ac:dyDescent="0.25">
      <c r="A22" s="2" t="s">
        <v>9</v>
      </c>
      <c r="B22" s="9" t="s">
        <v>22</v>
      </c>
      <c r="C22" s="7">
        <v>2</v>
      </c>
      <c r="D22" s="8">
        <v>133000</v>
      </c>
      <c r="E22" s="14">
        <f>D22*2</f>
        <v>266000</v>
      </c>
      <c r="F22" s="3" t="s">
        <v>21</v>
      </c>
    </row>
    <row r="23" spans="1:6" x14ac:dyDescent="0.25">
      <c r="A23" s="2" t="s">
        <v>10</v>
      </c>
      <c r="B23" s="15" t="s">
        <v>23</v>
      </c>
      <c r="C23" s="7">
        <v>2</v>
      </c>
      <c r="D23" s="8">
        <v>7500</v>
      </c>
      <c r="E23" s="14">
        <v>15000</v>
      </c>
      <c r="F23" s="3" t="s">
        <v>21</v>
      </c>
    </row>
    <row r="24" spans="1:6" x14ac:dyDescent="0.25">
      <c r="A24" s="2" t="s">
        <v>11</v>
      </c>
      <c r="B24" s="10" t="s">
        <v>24</v>
      </c>
      <c r="C24" s="7">
        <v>4</v>
      </c>
      <c r="D24" s="8">
        <v>220000</v>
      </c>
      <c r="E24" s="14">
        <f>D24*4</f>
        <v>880000</v>
      </c>
      <c r="F24" s="3" t="s">
        <v>21</v>
      </c>
    </row>
    <row r="25" spans="1:6" x14ac:dyDescent="0.25">
      <c r="A25" s="2" t="s">
        <v>12</v>
      </c>
      <c r="B25" s="16" t="s">
        <v>25</v>
      </c>
      <c r="C25" s="7">
        <v>2</v>
      </c>
      <c r="D25" s="8">
        <v>55000</v>
      </c>
      <c r="E25" s="14">
        <f>D25*2</f>
        <v>110000</v>
      </c>
      <c r="F25" s="3" t="s">
        <v>21</v>
      </c>
    </row>
    <row r="26" spans="1:6" x14ac:dyDescent="0.25">
      <c r="A26" s="2" t="s">
        <v>26</v>
      </c>
      <c r="B26" s="3" t="s">
        <v>27</v>
      </c>
      <c r="C26" s="7">
        <v>2</v>
      </c>
      <c r="D26" s="8">
        <v>4600000</v>
      </c>
      <c r="E26" s="17">
        <f>D26*2</f>
        <v>9200000</v>
      </c>
      <c r="F26" s="3"/>
    </row>
    <row r="27" spans="1:6" x14ac:dyDescent="0.25">
      <c r="A27" s="2"/>
      <c r="B27" s="3"/>
      <c r="C27" s="7"/>
      <c r="D27" s="8"/>
      <c r="E27" s="17"/>
      <c r="F27" s="3"/>
    </row>
    <row r="28" spans="1:6" x14ac:dyDescent="0.25">
      <c r="A28" s="2" t="s">
        <v>13</v>
      </c>
      <c r="B28" s="3" t="s">
        <v>28</v>
      </c>
      <c r="C28" s="7">
        <v>1</v>
      </c>
      <c r="D28" s="18">
        <v>75000</v>
      </c>
      <c r="E28" s="19">
        <v>75000</v>
      </c>
      <c r="F28" s="3" t="s">
        <v>21</v>
      </c>
    </row>
    <row r="29" spans="1:6" x14ac:dyDescent="0.25">
      <c r="A29" s="2"/>
      <c r="B29" s="20"/>
      <c r="C29" s="21" t="s">
        <v>17</v>
      </c>
      <c r="D29" s="22"/>
      <c r="E29" s="23">
        <f>SUM(E20:E28)</f>
        <v>10820000</v>
      </c>
      <c r="F29" s="24"/>
    </row>
    <row r="30" spans="1:6" x14ac:dyDescent="0.25">
      <c r="A30" s="2"/>
      <c r="B30" s="20"/>
      <c r="C30" s="21"/>
      <c r="D30" s="22"/>
      <c r="E30" s="23">
        <f>E29*15%</f>
        <v>1623000</v>
      </c>
      <c r="F30" s="24" t="s">
        <v>30</v>
      </c>
    </row>
    <row r="31" spans="1:6" ht="15.75" x14ac:dyDescent="0.25">
      <c r="A31" s="2"/>
      <c r="B31" s="2"/>
      <c r="C31" s="21" t="s">
        <v>29</v>
      </c>
      <c r="D31" s="25"/>
      <c r="E31" s="26">
        <f>SUM(E29:E30)</f>
        <v>12443000</v>
      </c>
      <c r="F31" s="30">
        <f>E31*7</f>
        <v>87101000</v>
      </c>
    </row>
    <row r="32" spans="1:6" ht="15.75" x14ac:dyDescent="0.25">
      <c r="A32" s="2"/>
      <c r="B32" s="2"/>
      <c r="C32" s="6" t="s">
        <v>14</v>
      </c>
      <c r="D32" s="27"/>
      <c r="E32" s="26">
        <f>E31*18%</f>
        <v>2239740</v>
      </c>
      <c r="F32" s="30">
        <f>F31*18%</f>
        <v>15678180</v>
      </c>
    </row>
    <row r="33" spans="1:6" ht="15.75" x14ac:dyDescent="0.25">
      <c r="A33" s="2"/>
      <c r="B33" s="2"/>
      <c r="C33" s="6" t="s">
        <v>15</v>
      </c>
      <c r="D33" s="27"/>
      <c r="E33" s="26">
        <f>SUM(E31:E32)</f>
        <v>14682740</v>
      </c>
      <c r="F33" s="30">
        <f>SUM(F31:F32)</f>
        <v>102779180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2026-09-16T11:13:40Z</dcterms:modified>
</cp:coreProperties>
</file>