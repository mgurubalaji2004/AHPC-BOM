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14" i="1"/>
  <c r="E15" i="1" s="1"/>
  <c r="E24" i="1"/>
  <c r="E30" i="1"/>
  <c r="E32" i="1" l="1"/>
  <c r="E33" i="1" l="1"/>
  <c r="E34" i="1" s="1"/>
  <c r="E8" i="1" l="1"/>
  <c r="E13" i="1" l="1"/>
  <c r="E16" i="1" l="1"/>
  <c r="E17" i="1" l="1"/>
</calcChain>
</file>

<file path=xl/sharedStrings.xml><?xml version="1.0" encoding="utf-8"?>
<sst xmlns="http://schemas.openxmlformats.org/spreadsheetml/2006/main" count="51" uniqueCount="34">
  <si>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</si>
  <si>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</si>
  <si>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</si>
  <si>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</si>
  <si>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</si>
  <si>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</si>
  <si>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</si>
  <si>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</si>
  <si>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</si>
  <si>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</si>
  <si>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</si>
  <si>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</si>
  <si>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</si>
  <si>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</si>
  <si>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</si>
  <si>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</si>
  <si>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</si>
  <si>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</si>
  <si>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keyboard Mouse</t>
  </si>
  <si>
    <t>Margin-15%</t>
  </si>
  <si>
    <t>From</t>
  </si>
  <si>
    <t xml:space="preserve">64GB DDR5 4800MHz </t>
  </si>
  <si>
    <t>480GB SATA SSD</t>
  </si>
  <si>
    <t xml:space="preserve">2U 12Bay Trimode Chassis </t>
  </si>
  <si>
    <t xml:space="preserve">1200W RPS </t>
  </si>
  <si>
    <t>AMD EPYC™ 9124 (Cores-16, Base Freq 3.00GHz, Max Freq 3.70GHz, Cache 64MB)</t>
  </si>
  <si>
    <t>AsRock TurinD8X 500 W</t>
  </si>
  <si>
    <t>Raid</t>
  </si>
  <si>
    <t>HBA 9500-16e Tri-Mode Storage Adapter</t>
  </si>
  <si>
    <t>J10</t>
  </si>
  <si>
    <t>Dual-Port 100GbE QSFP2</t>
  </si>
  <si>
    <t>NIC</t>
  </si>
  <si>
    <t>960GB SATA SSD</t>
  </si>
  <si>
    <t>8TB SATA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</si>
</sst>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="80" zoomScaleNormal="100" workbookViewId="0">
      <selection activeCell="D30" sqref="D30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20</v>
      </c>
    </row>
    <row r="4" spans="1:6" ht="15.75" x14ac:dyDescent="0.25">
      <c r="A4" s="9" t="s">
        <v>7</v>
      </c>
      <c r="B4" s="10" t="s">
        <v>23</v>
      </c>
      <c r="C4" s="11">
        <v>1</v>
      </c>
      <c r="D4" s="12">
        <v>99000</v>
      </c>
      <c r="E4" s="13">
        <v>110000</v>
      </c>
      <c r="F4" s="14"/>
    </row>
    <row r="5" spans="1:6" ht="15.75" x14ac:dyDescent="0.25">
      <c r="A5" s="9" t="s">
        <v>8</v>
      </c>
      <c r="B5" s="15" t="s">
        <v>26</v>
      </c>
      <c r="C5" s="11">
        <v>1</v>
      </c>
      <c r="D5" s="12">
        <v>110000</v>
      </c>
      <c r="E5" s="13">
        <v>110000</v>
      </c>
      <c r="F5" s="14"/>
    </row>
    <row r="6" spans="1:6" ht="31.5" x14ac:dyDescent="0.25">
      <c r="A6" s="9" t="s">
        <v>9</v>
      </c>
      <c r="B6" s="16" t="s">
        <v>25</v>
      </c>
      <c r="C6" s="11">
        <v>1</v>
      </c>
      <c r="D6" s="12">
        <v>60300</v>
      </c>
      <c r="E6" s="17">
        <v>61000</v>
      </c>
      <c r="F6" s="14"/>
    </row>
    <row r="7" spans="1:6" ht="15.75" x14ac:dyDescent="0.25">
      <c r="A7" s="9" t="s">
        <v>10</v>
      </c>
      <c r="B7" s="18" t="s">
        <v>29</v>
      </c>
      <c r="C7" s="11">
        <v>1</v>
      </c>
      <c r="D7" s="12">
        <v>7500</v>
      </c>
      <c r="E7" s="17">
        <v>7500</v>
      </c>
      <c r="F7" s="14"/>
    </row>
    <row r="8" spans="1:6" ht="15.75" x14ac:dyDescent="0.25">
      <c r="A8" s="9" t="s">
        <v>11</v>
      </c>
      <c r="B8" s="19" t="s">
        <v>21</v>
      </c>
      <c r="C8" s="11">
        <v>8</v>
      </c>
      <c r="D8" s="12">
        <v>225000</v>
      </c>
      <c r="E8" s="17">
        <f>D8*8</f>
        <v>1800000</v>
      </c>
      <c r="F8" s="14"/>
    </row>
    <row r="9" spans="1:6" ht="15.75" x14ac:dyDescent="0.25">
      <c r="A9" s="9" t="s">
        <v>12</v>
      </c>
      <c r="B9" s="16" t="s">
        <v>22</v>
      </c>
      <c r="C9" s="11">
        <v>2</v>
      </c>
      <c r="D9" s="12">
        <v>31000</v>
      </c>
      <c r="E9" s="17">
        <v>62000</v>
      </c>
      <c r="F9" s="14"/>
    </row>
    <row r="10" spans="1:6" ht="15.75" x14ac:dyDescent="0.25">
      <c r="A10" s="9" t="s">
        <v>27</v>
      </c>
      <c r="B10" s="16" t="s">
        <v>28</v>
      </c>
      <c r="C10" s="11">
        <v>1</v>
      </c>
      <c r="D10" s="12">
        <v>63000</v>
      </c>
      <c r="E10" s="17">
        <v>114500</v>
      </c>
      <c r="F10" s="14"/>
    </row>
    <row r="11" spans="1:6" ht="15.75" x14ac:dyDescent="0.25">
      <c r="A11" s="9" t="s">
        <v>13</v>
      </c>
      <c r="B11" s="16" t="s">
        <v>24</v>
      </c>
      <c r="C11" s="11">
        <v>1</v>
      </c>
      <c r="D11" s="12">
        <v>0</v>
      </c>
      <c r="E11" s="20">
        <v>0</v>
      </c>
      <c r="F11" s="14"/>
    </row>
    <row r="12" spans="1:6" ht="14.25" customHeight="1" x14ac:dyDescent="0.25">
      <c r="A12" s="9" t="s">
        <v>31</v>
      </c>
      <c r="B12" s="16" t="s">
        <v>30</v>
      </c>
      <c r="C12" s="11">
        <v>1</v>
      </c>
      <c r="D12" s="12">
        <v>36000</v>
      </c>
      <c r="E12" s="17">
        <v>45000</v>
      </c>
      <c r="F12" s="14"/>
    </row>
    <row r="13" spans="1:6" ht="16.149999999999999" customHeight="1" x14ac:dyDescent="0.25">
      <c r="A13" s="9"/>
      <c r="B13" s="21"/>
      <c r="C13" s="22" t="s">
        <v>17</v>
      </c>
      <c r="D13" s="23"/>
      <c r="E13" s="8">
        <f>SUM(E4:E12)</f>
        <v>2310000</v>
      </c>
      <c r="F13" s="14"/>
    </row>
    <row r="14" spans="1:6" ht="16.149999999999999" customHeight="1" x14ac:dyDescent="0.25">
      <c r="A14" s="9"/>
      <c r="B14" s="21"/>
      <c r="C14" s="28">
        <v>0.15</v>
      </c>
      <c r="D14" s="23"/>
      <c r="E14" s="24">
        <f>E13*25%</f>
        <v>577500</v>
      </c>
      <c r="F14" s="14"/>
    </row>
    <row r="15" spans="1:6" ht="18" customHeight="1" x14ac:dyDescent="0.25">
      <c r="A15" s="9"/>
      <c r="B15" s="9"/>
      <c r="C15" s="22" t="s">
        <v>19</v>
      </c>
      <c r="D15" s="25"/>
      <c r="E15" s="8">
        <f>SUM(E13:E14)</f>
        <v>2887500</v>
      </c>
      <c r="F15" s="14"/>
    </row>
    <row r="16" spans="1:6" ht="15.75" x14ac:dyDescent="0.25">
      <c r="A16" s="9"/>
      <c r="B16" s="9"/>
      <c r="C16" s="26" t="s">
        <v>14</v>
      </c>
      <c r="D16" s="27"/>
      <c r="E16" s="7">
        <f>E15*18%</f>
        <v>519750</v>
      </c>
      <c r="F16" s="14"/>
    </row>
    <row r="17" spans="1:6" ht="15.75" x14ac:dyDescent="0.25">
      <c r="A17" s="9"/>
      <c r="B17" s="9"/>
      <c r="C17" s="26" t="s">
        <v>15</v>
      </c>
      <c r="D17" s="27"/>
      <c r="E17" s="7">
        <f>SUM(E15:E16)</f>
        <v>3407250</v>
      </c>
      <c r="F17" s="14"/>
    </row>
    <row r="20" spans="1:6" x14ac:dyDescent="0.25">
      <c r="A20" s="6" t="s">
        <v>3</v>
      </c>
      <c r="B20" s="6" t="s">
        <v>4</v>
      </c>
      <c r="C20" s="6" t="s">
        <v>5</v>
      </c>
      <c r="D20" s="6" t="s">
        <v>16</v>
      </c>
      <c r="E20" s="6" t="s">
        <v>6</v>
      </c>
      <c r="F20" s="6" t="s">
        <v>20</v>
      </c>
    </row>
    <row r="21" spans="1:6" ht="15.75" x14ac:dyDescent="0.25">
      <c r="A21" s="9" t="s">
        <v>7</v>
      </c>
      <c r="B21" s="10"/>
      <c r="C21" s="11">
        <v>1</v>
      </c>
      <c r="D21" s="12"/>
      <c r="E21" s="13">
        <v>650000</v>
      </c>
      <c r="F21" s="14"/>
    </row>
    <row r="22" spans="1:6" ht="15.75" x14ac:dyDescent="0.25">
      <c r="A22" s="9"/>
      <c r="B22" s="15"/>
      <c r="C22" s="11"/>
      <c r="D22" s="12"/>
      <c r="E22" s="13"/>
      <c r="F22" s="14"/>
    </row>
    <row r="23" spans="1:6" ht="15.75" x14ac:dyDescent="0.25">
      <c r="A23" s="9"/>
      <c r="B23" s="16"/>
      <c r="C23" s="11"/>
      <c r="D23" s="12"/>
      <c r="E23" s="17"/>
      <c r="F23" s="14"/>
    </row>
    <row r="24" spans="1:6" ht="15.75" x14ac:dyDescent="0.25">
      <c r="A24" s="9"/>
      <c r="B24" s="18" t="s">
        <v>33</v>
      </c>
      <c r="C24" s="11">
        <v>48</v>
      </c>
      <c r="D24" s="12">
        <v>36000</v>
      </c>
      <c r="E24" s="17">
        <f>D24*48</f>
        <v>1728000</v>
      </c>
      <c r="F24" s="14"/>
    </row>
    <row r="25" spans="1:6" ht="15.75" x14ac:dyDescent="0.25">
      <c r="A25" s="9"/>
      <c r="B25" s="19" t="s">
        <v>32</v>
      </c>
      <c r="C25" s="11">
        <v>2</v>
      </c>
      <c r="D25" s="12">
        <v>48000</v>
      </c>
      <c r="E25" s="17">
        <v>96000</v>
      </c>
      <c r="F25" s="14"/>
    </row>
    <row r="26" spans="1:6" ht="15.75" x14ac:dyDescent="0.25">
      <c r="A26" s="9" t="s">
        <v>12</v>
      </c>
      <c r="B26" s="16" t="s">
        <v>22</v>
      </c>
      <c r="C26" s="11">
        <v>2</v>
      </c>
      <c r="D26" s="12">
        <v>31000</v>
      </c>
      <c r="E26" s="17">
        <v>62000</v>
      </c>
      <c r="F26" s="14"/>
    </row>
    <row r="27" spans="1:6" ht="15.75" x14ac:dyDescent="0.25">
      <c r="A27" s="9" t="s">
        <v>31</v>
      </c>
      <c r="B27" s="16" t="s">
        <v>30</v>
      </c>
      <c r="C27" s="11">
        <v>1</v>
      </c>
      <c r="D27" s="12">
        <v>36000</v>
      </c>
      <c r="E27" s="17">
        <v>43000</v>
      </c>
      <c r="F27" s="14"/>
    </row>
    <row r="28" spans="1:6" ht="15.75" x14ac:dyDescent="0.25">
      <c r="A28" s="9" t="s">
        <v>13</v>
      </c>
      <c r="B28" s="16" t="s">
        <v>24</v>
      </c>
      <c r="C28" s="11">
        <v>1</v>
      </c>
      <c r="D28" s="12">
        <v>0</v>
      </c>
      <c r="E28" s="20">
        <v>0</v>
      </c>
      <c r="F28" s="14"/>
    </row>
    <row r="29" spans="1:6" ht="31.5" x14ac:dyDescent="0.25">
      <c r="A29" s="9" t="s">
        <v>18</v>
      </c>
      <c r="B29" s="19"/>
      <c r="C29" s="11"/>
      <c r="D29" s="12"/>
      <c r="E29" s="20"/>
      <c r="F29" s="14"/>
    </row>
    <row r="30" spans="1:6" ht="15.75" x14ac:dyDescent="0.25">
      <c r="A30" s="9"/>
      <c r="B30" s="21"/>
      <c r="C30" s="22" t="s">
        <v>17</v>
      </c>
      <c r="D30" s="23"/>
      <c r="E30" s="8">
        <f>SUM(E21:E29)</f>
        <v>2579000</v>
      </c>
      <c r="F30" s="14"/>
    </row>
    <row r="31" spans="1:6" ht="15.75" x14ac:dyDescent="0.25">
      <c r="A31" s="9"/>
      <c r="B31" s="21"/>
      <c r="C31" s="28">
        <v>0.15</v>
      </c>
      <c r="D31" s="23"/>
      <c r="E31" s="24">
        <f>E30*25%</f>
        <v>644750</v>
      </c>
      <c r="F31" s="14"/>
    </row>
    <row r="32" spans="1:6" ht="15.75" x14ac:dyDescent="0.25">
      <c r="A32" s="9"/>
      <c r="B32" s="9"/>
      <c r="C32" s="22" t="s">
        <v>19</v>
      </c>
      <c r="D32" s="25"/>
      <c r="E32" s="8">
        <f>SUM(E30:E31)</f>
        <v>3223750</v>
      </c>
      <c r="F32" s="14"/>
    </row>
    <row r="33" spans="1:6" ht="15.75" x14ac:dyDescent="0.25">
      <c r="A33" s="9"/>
      <c r="B33" s="9"/>
      <c r="C33" s="26" t="s">
        <v>14</v>
      </c>
      <c r="D33" s="27"/>
      <c r="E33" s="7">
        <f>E32*18%</f>
        <v>580275</v>
      </c>
      <c r="F33" s="14"/>
    </row>
    <row r="34" spans="1:6" ht="15.75" x14ac:dyDescent="0.25">
      <c r="A34" s="9"/>
      <c r="B34" s="9"/>
      <c r="C34" s="26" t="s">
        <v>15</v>
      </c>
      <c r="D34" s="27"/>
      <c r="E34" s="7">
        <f>SUM(E32:E33)</f>
        <v>3804025</v>
      </c>
      <c r="F34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2026-08-31T07:55:41Z</dcterms:modified>
</cp:coreProperties>
</file>