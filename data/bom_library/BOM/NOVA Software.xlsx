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cuments\BOM\"/>
    </mc:Choice>
  </mc:AlternateContent>
  <bookViews>
    <workbookView xWindow="-105" yWindow="-105" windowWidth="23250" windowHeight="1317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1" i="1" l="1"/>
  <c r="E14" i="1"/>
</calcChain>
</file>

<file path=xl/sharedStrings.xml><?xml version="1.0" encoding="utf-8"?>
<sst xmlns="http://schemas.openxmlformats.org/spreadsheetml/2006/main" count="55" uniqueCount="38">
  <si>
    <t>Quatation No</t>
  </si>
  <si>
    <t xml:space="preserve">Customer </t>
  </si>
  <si>
    <t xml:space="preserve">Date </t>
  </si>
  <si>
    <t>Components</t>
  </si>
  <si>
    <t>Model</t>
  </si>
  <si>
    <t xml:space="preserve">Quantity </t>
  </si>
  <si>
    <t>Rate</t>
  </si>
  <si>
    <t>Chassis</t>
  </si>
  <si>
    <t>Motherboard</t>
  </si>
  <si>
    <t>CPU</t>
  </si>
  <si>
    <t>Heatsink</t>
  </si>
  <si>
    <t>Memory</t>
  </si>
  <si>
    <t>SSD</t>
  </si>
  <si>
    <t>power supply</t>
  </si>
  <si>
    <t>GST -18%</t>
  </si>
  <si>
    <t>Total Price</t>
  </si>
  <si>
    <t>Unit Prize</t>
  </si>
  <si>
    <t>Sub Total</t>
  </si>
  <si>
    <t>With Margin(15%)</t>
  </si>
  <si>
    <t xml:space="preserve">Dual Intel 5th /4th Gen Xeon, Intel® C741, DDR5 RDIMM x16 </t>
  </si>
  <si>
    <t xml:space="preserve">AIC Chassis 4U 8GPU </t>
  </si>
  <si>
    <t>GPU</t>
  </si>
  <si>
    <t>hyte 50</t>
  </si>
  <si>
    <t>64GB DDR5 4800MHz</t>
  </si>
  <si>
    <t>AMD EPYC™ 9354 (Cores-32, Base Freq 3.25GHz, Max Freq 3.8GHz, Cache 256MB)</t>
  </si>
  <si>
    <t>32GB DDR5 5600MHz</t>
  </si>
  <si>
    <t>Asrock TurinD8-2L2T AMD SoC Chipset with 8 x DIMMs Motherboard</t>
  </si>
  <si>
    <t>1.92TB NVMe M.2 SSD</t>
  </si>
  <si>
    <t>2000W RPS</t>
  </si>
  <si>
    <t>Intel® Xeon® Gold 5418Y Processor (Cores 24, Base Freq 2.00GHz, Max Freq 3.80GHz, Cache 45MB)</t>
  </si>
  <si>
    <t xml:space="preserve">960GB SATA SSD </t>
  </si>
  <si>
    <t>3200W RPS (3+1)</t>
  </si>
  <si>
    <t>HDD</t>
  </si>
  <si>
    <t>2TB HDD</t>
  </si>
  <si>
    <t xml:space="preserve">GPU </t>
  </si>
  <si>
    <t>NVIDIA RTX™ 5000 Ada 32GB</t>
  </si>
  <si>
    <t>NVIDIA RTX™ PRO 6000 Blackwell server edition</t>
  </si>
  <si>
    <t>From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</si>
</sst>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AAECC6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right" vertical="top" wrapText="1"/>
    </xf>
    <xf numFmtId="0" fontId="0" fillId="0" borderId="1" xfId="0" applyFont="1" applyBorder="1" applyAlignment="1">
      <alignment wrapText="1"/>
    </xf>
    <xf numFmtId="0" fontId="0" fillId="0" borderId="1" xfId="0" applyFont="1" applyBorder="1"/>
    <xf numFmtId="0" fontId="3" fillId="3" borderId="1" xfId="0" applyFont="1" applyFill="1" applyBorder="1" applyAlignment="1">
      <alignment vertical="top" wrapText="1"/>
    </xf>
    <xf numFmtId="0" fontId="0" fillId="3" borderId="1" xfId="0" applyFont="1" applyFill="1" applyBorder="1" applyAlignment="1">
      <alignment vertical="top" wrapText="1"/>
    </xf>
    <xf numFmtId="0" fontId="0" fillId="4" borderId="1" xfId="0" applyFont="1" applyFill="1" applyBorder="1" applyAlignment="1">
      <alignment vertical="top" wrapText="1"/>
    </xf>
    <xf numFmtId="0" fontId="0" fillId="0" borderId="1" xfId="0" applyFont="1" applyBorder="1" applyAlignment="1">
      <alignment vertical="top" wrapText="1"/>
    </xf>
    <xf numFmtId="0" fontId="0" fillId="0" borderId="0" xfId="0" applyFont="1"/>
    <xf numFmtId="0" fontId="0" fillId="0" borderId="1" xfId="0" applyFont="1" applyBorder="1" applyAlignment="1">
      <alignment vertical="top"/>
    </xf>
    <xf numFmtId="0" fontId="0" fillId="4" borderId="1" xfId="0" applyFont="1" applyFill="1" applyBorder="1" applyAlignment="1">
      <alignment wrapText="1"/>
    </xf>
    <xf numFmtId="0" fontId="0" fillId="0" borderId="0" xfId="0" applyFont="1" applyAlignment="1">
      <alignment horizontal="left" vertical="center" wrapText="1"/>
    </xf>
    <xf numFmtId="0" fontId="0" fillId="0" borderId="1" xfId="0" applyFont="1" applyBorder="1" applyAlignment="1">
      <alignment vertical="center" wrapText="1"/>
    </xf>
    <xf numFmtId="3" fontId="0" fillId="0" borderId="1" xfId="0" applyNumberFormat="1" applyFont="1" applyBorder="1" applyAlignment="1">
      <alignment horizontal="center" vertical="center" wrapText="1"/>
    </xf>
    <xf numFmtId="3" fontId="0" fillId="0" borderId="1" xfId="0" applyNumberFormat="1" applyFont="1" applyBorder="1" applyAlignment="1">
      <alignment horizontal="center" vertical="center"/>
    </xf>
    <xf numFmtId="4" fontId="0" fillId="0" borderId="1" xfId="0" applyNumberFormat="1" applyFont="1" applyBorder="1" applyAlignment="1">
      <alignment horizontal="center"/>
    </xf>
    <xf numFmtId="4" fontId="0" fillId="5" borderId="1" xfId="0" applyNumberFormat="1" applyFont="1" applyFill="1" applyBorder="1" applyAlignment="1">
      <alignment horizontal="center" vertical="top" wrapText="1"/>
    </xf>
    <xf numFmtId="4" fontId="2" fillId="0" borderId="1" xfId="0" applyNumberFormat="1" applyFont="1" applyBorder="1" applyAlignment="1">
      <alignment horizontal="right"/>
    </xf>
    <xf numFmtId="0" fontId="0" fillId="0" borderId="1" xfId="0" applyFont="1" applyBorder="1" applyAlignment="1">
      <alignment horizontal="center" wrapText="1"/>
    </xf>
    <xf numFmtId="4" fontId="4" fillId="0" borderId="1" xfId="0" applyNumberFormat="1" applyFont="1" applyBorder="1" applyAlignment="1">
      <alignment horizontal="right"/>
    </xf>
    <xf numFmtId="14" fontId="0" fillId="0" borderId="1" xfId="0" applyNumberFormat="1" applyFont="1" applyBorder="1" applyAlignment="1">
      <alignment horizontal="center" wrapText="1"/>
    </xf>
    <xf numFmtId="0" fontId="0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4"/>
  <sheetViews>
    <sheetView tabSelected="1" zoomScale="88" zoomScaleNormal="160" workbookViewId="0">
      <selection activeCell="F15" sqref="F15"/>
    </sheetView>
  </sheetViews>
  <sheetFormatPr defaultRowHeight="15" x14ac:dyDescent="0.25"/>
  <cols>
    <col min="1" max="1" width="15.28515625" customWidth="1"/>
    <col min="2" max="2" width="49.28515625" customWidth="1"/>
    <col min="3" max="3" width="12.7109375" customWidth="1"/>
    <col min="4" max="4" width="15.5703125" customWidth="1"/>
    <col min="5" max="5" width="16.7109375" customWidth="1"/>
    <col min="6" max="6" width="14.7109375" customWidth="1"/>
  </cols>
  <sheetData>
    <row r="1" spans="1:6" x14ac:dyDescent="0.25">
      <c r="A1" s="1" t="s">
        <v>0</v>
      </c>
      <c r="B1" s="1"/>
      <c r="C1" s="2"/>
      <c r="D1" s="2"/>
      <c r="E1" s="2"/>
      <c r="F1" s="3"/>
    </row>
    <row r="2" spans="1:6" x14ac:dyDescent="0.25">
      <c r="A2" s="4" t="s">
        <v>1</v>
      </c>
      <c r="B2" s="2"/>
      <c r="C2" s="5" t="s">
        <v>2</v>
      </c>
      <c r="D2" s="20"/>
      <c r="E2" s="21"/>
      <c r="F2" s="3"/>
    </row>
    <row r="3" spans="1:6" x14ac:dyDescent="0.25">
      <c r="A3" s="6" t="s">
        <v>3</v>
      </c>
      <c r="B3" s="6" t="s">
        <v>4</v>
      </c>
      <c r="C3" s="6" t="s">
        <v>5</v>
      </c>
      <c r="D3" s="6" t="s">
        <v>16</v>
      </c>
      <c r="E3" s="6" t="s">
        <v>6</v>
      </c>
      <c r="F3" s="6" t="s">
        <v>37</v>
      </c>
    </row>
    <row r="4" spans="1:6" x14ac:dyDescent="0.25">
      <c r="A4" s="2" t="s">
        <v>7</v>
      </c>
      <c r="B4" s="12" t="s">
        <v>22</v>
      </c>
      <c r="C4" s="18">
        <v>1</v>
      </c>
      <c r="D4" s="13">
        <v>11500</v>
      </c>
      <c r="E4" s="13">
        <v>100000</v>
      </c>
      <c r="F4" s="3"/>
    </row>
    <row r="5" spans="1:6" ht="30" x14ac:dyDescent="0.25">
      <c r="A5" s="2" t="s">
        <v>8</v>
      </c>
      <c r="B5" s="11" t="s">
        <v>26</v>
      </c>
      <c r="C5" s="18">
        <v>1</v>
      </c>
      <c r="D5" s="13">
        <v>75000</v>
      </c>
      <c r="E5" s="13">
        <v>75000</v>
      </c>
      <c r="F5" s="3"/>
    </row>
    <row r="6" spans="1:6" ht="30" x14ac:dyDescent="0.25">
      <c r="A6" s="2" t="s">
        <v>9</v>
      </c>
      <c r="B6" s="7" t="s">
        <v>24</v>
      </c>
      <c r="C6" s="18">
        <v>1</v>
      </c>
      <c r="D6" s="13">
        <v>200000</v>
      </c>
      <c r="E6" s="13">
        <v>200000</v>
      </c>
      <c r="F6" s="3"/>
    </row>
    <row r="7" spans="1:6" x14ac:dyDescent="0.25">
      <c r="A7" s="2" t="s">
        <v>10</v>
      </c>
      <c r="B7" s="8"/>
      <c r="C7" s="18">
        <v>1</v>
      </c>
      <c r="D7" s="13">
        <v>7500</v>
      </c>
      <c r="E7" s="13">
        <v>7500</v>
      </c>
      <c r="F7" s="3"/>
    </row>
    <row r="8" spans="1:6" x14ac:dyDescent="0.25">
      <c r="A8" s="2" t="s">
        <v>11</v>
      </c>
      <c r="B8" s="9" t="s">
        <v>25</v>
      </c>
      <c r="C8" s="18">
        <v>2</v>
      </c>
      <c r="D8" s="13">
        <v>90000</v>
      </c>
      <c r="E8" s="13">
        <v>180000</v>
      </c>
      <c r="F8" s="3"/>
    </row>
    <row r="9" spans="1:6" x14ac:dyDescent="0.25">
      <c r="A9" s="2" t="s">
        <v>12</v>
      </c>
      <c r="B9" s="7" t="s">
        <v>27</v>
      </c>
      <c r="C9" s="18">
        <v>1</v>
      </c>
      <c r="D9" s="13">
        <v>81000</v>
      </c>
      <c r="E9" s="13">
        <v>85000</v>
      </c>
      <c r="F9" s="3"/>
    </row>
    <row r="10" spans="1:6" x14ac:dyDescent="0.25">
      <c r="A10" s="2" t="s">
        <v>21</v>
      </c>
      <c r="B10" s="2" t="s">
        <v>35</v>
      </c>
      <c r="C10" s="18">
        <v>4</v>
      </c>
      <c r="D10" s="13">
        <v>520000</v>
      </c>
      <c r="E10" s="13">
        <v>2080000</v>
      </c>
      <c r="F10" s="3"/>
    </row>
    <row r="11" spans="1:6" x14ac:dyDescent="0.25">
      <c r="A11" s="2" t="s">
        <v>13</v>
      </c>
      <c r="B11" s="7" t="s">
        <v>28</v>
      </c>
      <c r="C11" s="18">
        <v>1</v>
      </c>
      <c r="D11" s="13">
        <v>75000</v>
      </c>
      <c r="E11" s="13">
        <v>75000</v>
      </c>
      <c r="F11" s="3"/>
    </row>
    <row r="12" spans="1:6" ht="14.25" customHeight="1" x14ac:dyDescent="0.25">
      <c r="A12" s="2"/>
      <c r="B12" s="3"/>
      <c r="D12" s="18"/>
      <c r="E12" s="14"/>
      <c r="F12" s="3"/>
    </row>
    <row r="13" spans="1:6" ht="16.149999999999999" customHeight="1" x14ac:dyDescent="0.25">
      <c r="A13" s="2"/>
      <c r="B13" s="9"/>
      <c r="C13" s="18"/>
      <c r="D13" s="13"/>
      <c r="E13" s="13"/>
      <c r="F13" s="3"/>
    </row>
    <row r="14" spans="1:6" ht="16.149999999999999" customHeight="1" x14ac:dyDescent="0.25">
      <c r="A14" s="2"/>
      <c r="B14" s="9"/>
      <c r="C14" s="10" t="s">
        <v>17</v>
      </c>
      <c r="D14" s="13"/>
      <c r="E14" s="13">
        <f>SUM(E4:E13)</f>
        <v>2802500</v>
      </c>
      <c r="F14" s="3"/>
    </row>
    <row r="15" spans="1:6" ht="18" customHeight="1" x14ac:dyDescent="0.25">
      <c r="A15" s="2"/>
      <c r="B15" s="2"/>
      <c r="C15" s="10" t="s">
        <v>18</v>
      </c>
      <c r="D15" s="15"/>
      <c r="E15" s="19">
        <v>3223500</v>
      </c>
      <c r="F15" s="3"/>
    </row>
    <row r="16" spans="1:6" ht="15.75" x14ac:dyDescent="0.25">
      <c r="A16" s="2"/>
      <c r="B16" s="2"/>
      <c r="C16" s="6" t="s">
        <v>14</v>
      </c>
      <c r="D16" s="16"/>
      <c r="E16" s="17">
        <v>580230</v>
      </c>
      <c r="F16" s="3"/>
    </row>
    <row r="17" spans="1:6" ht="15.75" x14ac:dyDescent="0.25">
      <c r="A17" s="2"/>
      <c r="B17" s="2"/>
      <c r="C17" s="6" t="s">
        <v>15</v>
      </c>
      <c r="D17" s="16"/>
      <c r="E17" s="17">
        <v>3803730</v>
      </c>
      <c r="F17" s="3"/>
    </row>
    <row r="20" spans="1:6" x14ac:dyDescent="0.25">
      <c r="A20" s="6" t="s">
        <v>3</v>
      </c>
      <c r="B20" s="6" t="s">
        <v>4</v>
      </c>
      <c r="C20" s="6" t="s">
        <v>5</v>
      </c>
      <c r="D20" s="6" t="s">
        <v>16</v>
      </c>
      <c r="E20" s="6" t="s">
        <v>6</v>
      </c>
      <c r="F20" s="6" t="s">
        <v>37</v>
      </c>
    </row>
    <row r="21" spans="1:6" x14ac:dyDescent="0.25">
      <c r="A21" s="2" t="s">
        <v>7</v>
      </c>
      <c r="B21" s="12" t="s">
        <v>20</v>
      </c>
      <c r="C21" s="18">
        <v>1</v>
      </c>
      <c r="D21" s="13">
        <v>1000000</v>
      </c>
      <c r="E21" s="13">
        <v>1000000</v>
      </c>
      <c r="F21" s="3"/>
    </row>
    <row r="22" spans="1:6" ht="30" x14ac:dyDescent="0.25">
      <c r="A22" s="2" t="s">
        <v>8</v>
      </c>
      <c r="B22" s="11" t="s">
        <v>19</v>
      </c>
      <c r="C22" s="18">
        <v>1</v>
      </c>
      <c r="D22" s="13">
        <v>0</v>
      </c>
      <c r="E22" s="13">
        <v>25000</v>
      </c>
      <c r="F22" s="3"/>
    </row>
    <row r="23" spans="1:6" ht="30" x14ac:dyDescent="0.25">
      <c r="A23" s="2" t="s">
        <v>9</v>
      </c>
      <c r="B23" s="7" t="s">
        <v>29</v>
      </c>
      <c r="C23" s="18">
        <v>2</v>
      </c>
      <c r="D23" s="13">
        <v>135000</v>
      </c>
      <c r="E23" s="13">
        <v>270000</v>
      </c>
      <c r="F23" s="3"/>
    </row>
    <row r="24" spans="1:6" x14ac:dyDescent="0.25">
      <c r="A24" s="2" t="s">
        <v>10</v>
      </c>
      <c r="B24" s="8"/>
      <c r="C24" s="18">
        <v>2</v>
      </c>
      <c r="D24" s="13">
        <v>0</v>
      </c>
      <c r="E24" s="13">
        <v>15000</v>
      </c>
      <c r="F24" s="3"/>
    </row>
    <row r="25" spans="1:6" x14ac:dyDescent="0.25">
      <c r="A25" s="2" t="s">
        <v>11</v>
      </c>
      <c r="B25" s="9" t="s">
        <v>23</v>
      </c>
      <c r="C25" s="18">
        <v>4</v>
      </c>
      <c r="D25" s="13">
        <v>205000</v>
      </c>
      <c r="E25" s="13">
        <v>820000</v>
      </c>
      <c r="F25" s="3"/>
    </row>
    <row r="26" spans="1:6" x14ac:dyDescent="0.25">
      <c r="A26" s="2" t="s">
        <v>12</v>
      </c>
      <c r="B26" s="7" t="s">
        <v>30</v>
      </c>
      <c r="C26" s="18">
        <v>1</v>
      </c>
      <c r="D26" s="13">
        <v>45000</v>
      </c>
      <c r="E26" s="13">
        <v>50000</v>
      </c>
      <c r="F26" s="3"/>
    </row>
    <row r="27" spans="1:6" x14ac:dyDescent="0.25">
      <c r="A27" s="2" t="s">
        <v>32</v>
      </c>
      <c r="B27" s="7" t="s">
        <v>33</v>
      </c>
      <c r="C27" s="18">
        <v>1</v>
      </c>
      <c r="D27" s="13">
        <v>20000</v>
      </c>
      <c r="E27" s="13">
        <v>20000</v>
      </c>
      <c r="F27" s="3"/>
    </row>
    <row r="28" spans="1:6" x14ac:dyDescent="0.25">
      <c r="A28" s="2" t="s">
        <v>34</v>
      </c>
      <c r="B28" s="2" t="s">
        <v>36</v>
      </c>
      <c r="C28" s="18">
        <v>8</v>
      </c>
      <c r="D28" s="13">
        <v>1200000</v>
      </c>
      <c r="E28" s="13">
        <v>9600000</v>
      </c>
      <c r="F28" s="3"/>
    </row>
    <row r="29" spans="1:6" x14ac:dyDescent="0.25">
      <c r="A29" s="2" t="s">
        <v>13</v>
      </c>
      <c r="B29" s="2" t="s">
        <v>31</v>
      </c>
      <c r="C29" s="18">
        <v>1</v>
      </c>
      <c r="D29" s="13">
        <v>0</v>
      </c>
      <c r="E29" s="13">
        <v>15000</v>
      </c>
      <c r="F29" s="3"/>
    </row>
    <row r="30" spans="1:6" x14ac:dyDescent="0.25">
      <c r="A30" s="2"/>
      <c r="B30" s="9"/>
      <c r="C30" s="18"/>
      <c r="D30" s="13"/>
      <c r="E30" s="13"/>
      <c r="F30" s="3"/>
    </row>
    <row r="31" spans="1:6" x14ac:dyDescent="0.25">
      <c r="A31" s="2"/>
      <c r="B31" s="9"/>
      <c r="C31" s="10" t="s">
        <v>17</v>
      </c>
      <c r="D31" s="13"/>
      <c r="E31" s="13">
        <f>SUM(E21:E30)</f>
        <v>11815000</v>
      </c>
      <c r="F31" s="3"/>
    </row>
    <row r="32" spans="1:6" ht="30" x14ac:dyDescent="0.25">
      <c r="A32" s="2"/>
      <c r="B32" s="2"/>
      <c r="C32" s="10" t="s">
        <v>18</v>
      </c>
      <c r="D32" s="15"/>
      <c r="E32" s="19">
        <v>13587250</v>
      </c>
      <c r="F32" s="3"/>
    </row>
    <row r="33" spans="1:6" ht="15.75" x14ac:dyDescent="0.25">
      <c r="A33" s="2"/>
      <c r="B33" s="2"/>
      <c r="C33" s="6" t="s">
        <v>14</v>
      </c>
      <c r="D33" s="16"/>
      <c r="E33" s="17">
        <v>2445705</v>
      </c>
      <c r="F33" s="3"/>
    </row>
    <row r="34" spans="1:6" ht="15.75" x14ac:dyDescent="0.25">
      <c r="A34" s="2"/>
      <c r="B34" s="2"/>
      <c r="C34" s="6" t="s">
        <v>15</v>
      </c>
      <c r="D34" s="16"/>
      <c r="E34" s="17">
        <v>16032955</v>
      </c>
      <c r="F34" s="3"/>
    </row>
  </sheetData>
  <mergeCells count="1">
    <mergeCell ref="D2:E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lakshmanan.n@allwayhpc.com</dc:creator>
  <cp:lastModifiedBy>ADMIN</cp:lastModifiedBy>
  <dcterms:created xsi:type="dcterms:W3CDTF">2026-02-26T06:16:45Z</dcterms:created>
  <dcterms:modified xsi:type="dcterms:W3CDTF">2026-07-11T08:04:29Z</dcterms:modified>
</cp:coreProperties>
</file>