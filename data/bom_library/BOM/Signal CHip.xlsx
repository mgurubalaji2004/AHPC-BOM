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0595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38" i="1"/>
  <c r="E39" i="1" s="1"/>
  <c r="E29" i="1"/>
  <c r="E8" i="1"/>
  <c r="F38" i="1" l="1"/>
  <c r="E40" i="1"/>
  <c r="E30" i="1"/>
  <c r="E31" i="1" s="1"/>
  <c r="E14" i="1"/>
  <c r="E15" i="1" l="1"/>
  <c r="F14" i="1"/>
  <c r="E41" i="1"/>
  <c r="E42" i="1" s="1"/>
  <c r="F39" i="1"/>
  <c r="F40" i="1" s="1"/>
  <c r="E32" i="1"/>
  <c r="E33" i="1" s="1"/>
  <c r="E16" i="1"/>
  <c r="F15" i="1" l="1"/>
  <c r="F16" i="1"/>
  <c r="F41" i="1"/>
  <c r="F42" i="1" s="1"/>
  <c r="E17" i="1"/>
  <c r="E18" i="1" s="1"/>
  <c r="F17" i="1" l="1"/>
  <c r="F18" i="1" s="1"/>
</calcChain>
</file>

<file path=xl/sharedStrings.xml><?xml version="1.0" encoding="utf-8"?>
<sst xmlns="http://schemas.openxmlformats.org/spreadsheetml/2006/main" count="68" uniqueCount="41">
  <si>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</si>
  <si>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</si>
  <si>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</si>
  <si>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</si>
  <si>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</si>
  <si>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</si>
  <si>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</si>
  <si>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</si>
  <si>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</si>
  <si>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</si>
  <si>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</si>
  <si>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</si>
  <si>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</si>
  <si>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</si>
  <si>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</si>
  <si>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</si>
  <si>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</si>
  <si>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</si>
  <si>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Margin-15%</t>
  </si>
  <si>
    <t>From</t>
  </si>
  <si>
    <t>HDD</t>
  </si>
  <si>
    <t>2U Rack Mountable Chassis 12Bays</t>
  </si>
  <si>
    <t>mz33-AR1 AMD SoC  4 x PCIe Gen5 x16 expansion slots  2 x 10Gb/s LAN ports</t>
  </si>
  <si>
    <t>AMD EPYC™ 9124 (16-Cores, Base Freq 3.00GHz, Max Freq 3.70GHz, Cache 64MB )</t>
  </si>
  <si>
    <t>J10</t>
  </si>
  <si>
    <t>64GB DDR5 4800MHz</t>
  </si>
  <si>
    <t>4TB SATA HDD</t>
  </si>
  <si>
    <t>960GB SATA SSD</t>
  </si>
  <si>
    <t>1200W RPS</t>
  </si>
  <si>
    <t>Raid</t>
  </si>
  <si>
    <t>Quantity 2</t>
  </si>
  <si>
    <t xml:space="preserve">MS03-CE0  </t>
  </si>
  <si>
    <t>Intel® Xeon® Gold 6542Y Processor (24-Cores, Base Freq 2.90GHz, Max Freq 4.10GHz, Cache 60MB)</t>
  </si>
  <si>
    <t>480GB SATA SSD</t>
  </si>
  <si>
    <t>128GB DDR5 5200GHz</t>
  </si>
  <si>
    <t>GPU</t>
  </si>
  <si>
    <t>NVIDIA H200 141GB NVL</t>
  </si>
  <si>
    <t>800W RPS</t>
  </si>
  <si>
    <t xml:space="preserve">2U Rack Mountable Chassis </t>
  </si>
  <si>
    <t>battery for raid</t>
  </si>
  <si>
    <t xml:space="preserve">9460-16i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</si>
</sst>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zoomScaleNormal="100" workbookViewId="0">
      <selection activeCell="B12" sqref="B12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1"/>
      <c r="E2" s="32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19</v>
      </c>
    </row>
    <row r="4" spans="1:6" ht="15.75" x14ac:dyDescent="0.25">
      <c r="A4" s="9" t="s">
        <v>7</v>
      </c>
      <c r="B4" s="10" t="s">
        <v>21</v>
      </c>
      <c r="C4" s="11">
        <v>1</v>
      </c>
      <c r="D4" s="12">
        <v>99000</v>
      </c>
      <c r="E4" s="13">
        <v>99000</v>
      </c>
      <c r="F4" s="14"/>
    </row>
    <row r="5" spans="1:6" ht="31.5" x14ac:dyDescent="0.25">
      <c r="A5" s="9" t="s">
        <v>8</v>
      </c>
      <c r="B5" s="15" t="s">
        <v>22</v>
      </c>
      <c r="C5" s="11">
        <v>1</v>
      </c>
      <c r="D5" s="12">
        <v>92000</v>
      </c>
      <c r="E5" s="13">
        <v>95000</v>
      </c>
      <c r="F5" s="14"/>
    </row>
    <row r="6" spans="1:6" ht="31.5" x14ac:dyDescent="0.25">
      <c r="A6" s="9" t="s">
        <v>9</v>
      </c>
      <c r="B6" s="16" t="s">
        <v>23</v>
      </c>
      <c r="C6" s="11">
        <v>1</v>
      </c>
      <c r="D6" s="12">
        <v>60300</v>
      </c>
      <c r="E6" s="17">
        <v>61000</v>
      </c>
      <c r="F6" s="14"/>
    </row>
    <row r="7" spans="1:6" ht="15.75" x14ac:dyDescent="0.25">
      <c r="A7" s="9" t="s">
        <v>10</v>
      </c>
      <c r="B7" s="18" t="s">
        <v>24</v>
      </c>
      <c r="C7" s="11">
        <v>1</v>
      </c>
      <c r="D7" s="12">
        <v>7500</v>
      </c>
      <c r="E7" s="17">
        <v>7500</v>
      </c>
      <c r="F7" s="14"/>
    </row>
    <row r="8" spans="1:6" ht="15.75" x14ac:dyDescent="0.25">
      <c r="A8" s="9" t="s">
        <v>11</v>
      </c>
      <c r="B8" s="19" t="s">
        <v>25</v>
      </c>
      <c r="C8" s="11">
        <v>2</v>
      </c>
      <c r="D8" s="12">
        <v>220000</v>
      </c>
      <c r="E8" s="17">
        <f>D8*2</f>
        <v>440000</v>
      </c>
      <c r="F8" s="14"/>
    </row>
    <row r="9" spans="1:6" ht="15.75" x14ac:dyDescent="0.25">
      <c r="A9" s="9" t="s">
        <v>12</v>
      </c>
      <c r="B9" s="16" t="s">
        <v>27</v>
      </c>
      <c r="C9" s="11">
        <v>2</v>
      </c>
      <c r="D9" s="12">
        <v>55000</v>
      </c>
      <c r="E9" s="17">
        <v>110000</v>
      </c>
      <c r="F9" s="14"/>
    </row>
    <row r="10" spans="1:6" ht="15.75" x14ac:dyDescent="0.25">
      <c r="A10" s="9" t="s">
        <v>20</v>
      </c>
      <c r="B10" s="16" t="s">
        <v>26</v>
      </c>
      <c r="C10" s="11">
        <v>6</v>
      </c>
      <c r="D10" s="12">
        <v>21500</v>
      </c>
      <c r="E10" s="17">
        <f>D10*6</f>
        <v>129000</v>
      </c>
      <c r="F10" s="14"/>
    </row>
    <row r="11" spans="1:6" ht="15.75" x14ac:dyDescent="0.25">
      <c r="A11" s="9" t="s">
        <v>13</v>
      </c>
      <c r="B11" s="16" t="s">
        <v>28</v>
      </c>
      <c r="C11" s="11">
        <v>1</v>
      </c>
      <c r="D11" s="12">
        <v>0</v>
      </c>
      <c r="E11" s="20">
        <v>0</v>
      </c>
      <c r="F11" s="14"/>
    </row>
    <row r="12" spans="1:6" ht="15.75" x14ac:dyDescent="0.25">
      <c r="A12" s="9" t="s">
        <v>29</v>
      </c>
      <c r="B12" s="14" t="s">
        <v>40</v>
      </c>
      <c r="C12" s="11">
        <v>1</v>
      </c>
      <c r="D12" s="21">
        <v>67500</v>
      </c>
      <c r="E12" s="22">
        <v>68000</v>
      </c>
      <c r="F12" s="14"/>
    </row>
    <row r="13" spans="1:6" ht="14.25" customHeight="1" x14ac:dyDescent="0.25">
      <c r="A13" s="9"/>
      <c r="B13" s="19" t="s">
        <v>39</v>
      </c>
      <c r="C13" s="11">
        <v>1</v>
      </c>
      <c r="D13" s="12">
        <v>17100</v>
      </c>
      <c r="E13" s="20">
        <v>17000</v>
      </c>
      <c r="F13" s="14" t="s">
        <v>30</v>
      </c>
    </row>
    <row r="14" spans="1:6" ht="16.149999999999999" customHeight="1" x14ac:dyDescent="0.25">
      <c r="A14" s="9"/>
      <c r="B14" s="23"/>
      <c r="C14" s="24" t="s">
        <v>17</v>
      </c>
      <c r="D14" s="25"/>
      <c r="E14" s="8">
        <f>SUM(E4:E13)</f>
        <v>1026500</v>
      </c>
      <c r="F14" s="8">
        <f>E14*2</f>
        <v>2053000</v>
      </c>
    </row>
    <row r="15" spans="1:6" ht="16.149999999999999" customHeight="1" x14ac:dyDescent="0.25">
      <c r="A15" s="9"/>
      <c r="B15" s="23"/>
      <c r="C15" s="30">
        <v>0.15</v>
      </c>
      <c r="D15" s="25"/>
      <c r="E15" s="8">
        <f>E14*15%</f>
        <v>153975</v>
      </c>
      <c r="F15" s="8">
        <f>F14*15%</f>
        <v>307950</v>
      </c>
    </row>
    <row r="16" spans="1:6" ht="18" customHeight="1" x14ac:dyDescent="0.25">
      <c r="A16" s="9"/>
      <c r="B16" s="9"/>
      <c r="C16" s="24" t="s">
        <v>18</v>
      </c>
      <c r="D16" s="27"/>
      <c r="E16" s="8">
        <f>SUM(E14:E15)</f>
        <v>1180475</v>
      </c>
      <c r="F16" s="8">
        <f>SUM(F14:F15)</f>
        <v>2360950</v>
      </c>
    </row>
    <row r="17" spans="1:6" ht="15.75" x14ac:dyDescent="0.25">
      <c r="A17" s="9"/>
      <c r="B17" s="9"/>
      <c r="C17" s="28" t="s">
        <v>14</v>
      </c>
      <c r="D17" s="29"/>
      <c r="E17" s="7">
        <f>E16*18%</f>
        <v>212485.5</v>
      </c>
      <c r="F17" s="7">
        <f>F16*18%</f>
        <v>424971</v>
      </c>
    </row>
    <row r="18" spans="1:6" ht="15.75" x14ac:dyDescent="0.25">
      <c r="A18" s="9"/>
      <c r="B18" s="9"/>
      <c r="C18" s="28" t="s">
        <v>15</v>
      </c>
      <c r="D18" s="29"/>
      <c r="E18" s="7">
        <f>SUM(E16:E17)</f>
        <v>1392960.5</v>
      </c>
      <c r="F18" s="7">
        <f>SUM(F16:F17)</f>
        <v>2785921</v>
      </c>
    </row>
    <row r="20" spans="1:6" x14ac:dyDescent="0.25">
      <c r="A20" s="6" t="s">
        <v>3</v>
      </c>
      <c r="B20" s="6" t="s">
        <v>4</v>
      </c>
      <c r="C20" s="6" t="s">
        <v>5</v>
      </c>
      <c r="D20" s="6" t="s">
        <v>16</v>
      </c>
      <c r="E20" s="6" t="s">
        <v>6</v>
      </c>
      <c r="F20" s="6" t="s">
        <v>19</v>
      </c>
    </row>
    <row r="21" spans="1:6" ht="15.75" x14ac:dyDescent="0.25">
      <c r="A21" s="9" t="s">
        <v>7</v>
      </c>
      <c r="B21" s="10" t="s">
        <v>38</v>
      </c>
      <c r="C21" s="11">
        <v>1</v>
      </c>
      <c r="D21" s="12">
        <v>80000</v>
      </c>
      <c r="E21" s="13">
        <v>80000</v>
      </c>
      <c r="F21" s="14"/>
    </row>
    <row r="22" spans="1:6" ht="15.75" x14ac:dyDescent="0.25">
      <c r="A22" s="9" t="s">
        <v>8</v>
      </c>
      <c r="B22" s="15" t="s">
        <v>31</v>
      </c>
      <c r="C22" s="11">
        <v>1</v>
      </c>
      <c r="D22" s="12">
        <v>65500</v>
      </c>
      <c r="E22" s="13">
        <v>65500</v>
      </c>
      <c r="F22" s="14"/>
    </row>
    <row r="23" spans="1:6" ht="33.75" customHeight="1" x14ac:dyDescent="0.25">
      <c r="A23" s="9" t="s">
        <v>9</v>
      </c>
      <c r="B23" s="16" t="s">
        <v>32</v>
      </c>
      <c r="C23" s="11">
        <v>1</v>
      </c>
      <c r="D23" s="12">
        <v>355000</v>
      </c>
      <c r="E23" s="17">
        <v>355000</v>
      </c>
      <c r="F23" s="14"/>
    </row>
    <row r="24" spans="1:6" ht="15.75" x14ac:dyDescent="0.25">
      <c r="A24" s="9" t="s">
        <v>10</v>
      </c>
      <c r="B24" s="19"/>
      <c r="C24" s="11">
        <v>1</v>
      </c>
      <c r="D24" s="12">
        <v>7500</v>
      </c>
      <c r="E24" s="17">
        <v>7500</v>
      </c>
      <c r="F24" s="14"/>
    </row>
    <row r="25" spans="1:6" ht="15.75" x14ac:dyDescent="0.25">
      <c r="A25" s="9" t="s">
        <v>11</v>
      </c>
      <c r="B25" s="16" t="s">
        <v>34</v>
      </c>
      <c r="C25" s="11">
        <v>1</v>
      </c>
      <c r="D25" s="12">
        <v>420000</v>
      </c>
      <c r="E25" s="17">
        <v>420000</v>
      </c>
      <c r="F25" s="14"/>
    </row>
    <row r="26" spans="1:6" ht="15.75" x14ac:dyDescent="0.25">
      <c r="A26" s="9" t="s">
        <v>12</v>
      </c>
      <c r="B26" s="16" t="s">
        <v>33</v>
      </c>
      <c r="C26" s="11">
        <v>2</v>
      </c>
      <c r="D26" s="12">
        <v>31000</v>
      </c>
      <c r="E26" s="17">
        <v>62000</v>
      </c>
      <c r="F26" s="14"/>
    </row>
    <row r="27" spans="1:6" ht="15.75" x14ac:dyDescent="0.25">
      <c r="A27" s="9" t="s">
        <v>13</v>
      </c>
      <c r="B27" s="14" t="s">
        <v>37</v>
      </c>
      <c r="C27" s="11">
        <v>1</v>
      </c>
      <c r="D27" s="12">
        <v>0</v>
      </c>
      <c r="E27" s="20">
        <v>0</v>
      </c>
      <c r="F27" s="14"/>
    </row>
    <row r="28" spans="1:6" ht="15.75" x14ac:dyDescent="0.25">
      <c r="A28" s="9"/>
      <c r="C28" s="11"/>
      <c r="D28" s="12"/>
      <c r="E28" s="20"/>
      <c r="F28" s="14"/>
    </row>
    <row r="29" spans="1:6" ht="15.75" x14ac:dyDescent="0.25">
      <c r="A29" s="9"/>
      <c r="B29" s="23"/>
      <c r="C29" s="24" t="s">
        <v>17</v>
      </c>
      <c r="D29" s="25"/>
      <c r="E29" s="8">
        <f>SUM(E21:E28)</f>
        <v>990000</v>
      </c>
      <c r="F29" s="8"/>
    </row>
    <row r="30" spans="1:6" ht="15.75" x14ac:dyDescent="0.25">
      <c r="A30" s="9"/>
      <c r="B30" s="23"/>
      <c r="C30" s="30">
        <v>0.15</v>
      </c>
      <c r="D30" s="25"/>
      <c r="E30" s="26">
        <f>E29*15%</f>
        <v>148500</v>
      </c>
      <c r="F30" s="8"/>
    </row>
    <row r="31" spans="1:6" ht="15.75" x14ac:dyDescent="0.25">
      <c r="A31" s="9"/>
      <c r="B31" s="9"/>
      <c r="C31" s="24" t="s">
        <v>18</v>
      </c>
      <c r="D31" s="27"/>
      <c r="E31" s="8">
        <f>SUM(E29:E30)</f>
        <v>1138500</v>
      </c>
      <c r="F31" s="8"/>
    </row>
    <row r="32" spans="1:6" ht="15.75" x14ac:dyDescent="0.25">
      <c r="A32" s="9"/>
      <c r="B32" s="9"/>
      <c r="C32" s="28" t="s">
        <v>14</v>
      </c>
      <c r="D32" s="29"/>
      <c r="E32" s="7">
        <f>E31*18%</f>
        <v>204930</v>
      </c>
      <c r="F32" s="7"/>
    </row>
    <row r="33" spans="1:6" ht="15.75" x14ac:dyDescent="0.25">
      <c r="A33" s="9"/>
      <c r="B33" s="9"/>
      <c r="C33" s="28" t="s">
        <v>15</v>
      </c>
      <c r="D33" s="29"/>
      <c r="E33" s="7">
        <f>SUM(E31:E32)</f>
        <v>1343430</v>
      </c>
      <c r="F33" s="7"/>
    </row>
    <row r="36" spans="1:6" x14ac:dyDescent="0.25">
      <c r="A36" s="6" t="s">
        <v>3</v>
      </c>
      <c r="B36" s="6" t="s">
        <v>4</v>
      </c>
      <c r="C36" s="6" t="s">
        <v>5</v>
      </c>
      <c r="D36" s="6" t="s">
        <v>16</v>
      </c>
      <c r="E36" s="6" t="s">
        <v>6</v>
      </c>
      <c r="F36" s="6" t="s">
        <v>19</v>
      </c>
    </row>
    <row r="37" spans="1:6" ht="15.75" x14ac:dyDescent="0.25">
      <c r="A37" s="9" t="s">
        <v>35</v>
      </c>
      <c r="B37" s="10" t="s">
        <v>36</v>
      </c>
      <c r="C37" s="11">
        <v>1</v>
      </c>
      <c r="D37" s="12"/>
      <c r="E37" s="13">
        <v>3800000</v>
      </c>
      <c r="F37" s="14"/>
    </row>
    <row r="38" spans="1:6" ht="15.75" x14ac:dyDescent="0.25">
      <c r="A38" s="9"/>
      <c r="B38" s="23"/>
      <c r="C38" s="24" t="s">
        <v>17</v>
      </c>
      <c r="D38" s="25"/>
      <c r="E38" s="8">
        <f>SUM(E37:E37)</f>
        <v>3800000</v>
      </c>
      <c r="F38" s="8">
        <f>E38*2</f>
        <v>7600000</v>
      </c>
    </row>
    <row r="39" spans="1:6" ht="15.75" x14ac:dyDescent="0.25">
      <c r="A39" s="9"/>
      <c r="B39" s="23"/>
      <c r="C39" s="30">
        <v>0.15</v>
      </c>
      <c r="D39" s="25"/>
      <c r="E39" s="26">
        <f>E38*3%</f>
        <v>114000</v>
      </c>
      <c r="F39" s="26">
        <f>F38*15%</f>
        <v>1140000</v>
      </c>
    </row>
    <row r="40" spans="1:6" ht="15.75" x14ac:dyDescent="0.25">
      <c r="A40" s="9"/>
      <c r="B40" s="9"/>
      <c r="C40" s="24" t="s">
        <v>18</v>
      </c>
      <c r="D40" s="27"/>
      <c r="E40" s="8">
        <f>SUM(E38:E39)</f>
        <v>3914000</v>
      </c>
      <c r="F40" s="8">
        <f>SUM(F38:F39)</f>
        <v>8740000</v>
      </c>
    </row>
    <row r="41" spans="1:6" ht="15.75" x14ac:dyDescent="0.25">
      <c r="A41" s="9"/>
      <c r="B41" s="9"/>
      <c r="C41" s="28" t="s">
        <v>14</v>
      </c>
      <c r="D41" s="29"/>
      <c r="E41" s="7">
        <f>E40*18%</f>
        <v>704520</v>
      </c>
      <c r="F41" s="7">
        <f>F40*18%</f>
        <v>1573200</v>
      </c>
    </row>
    <row r="42" spans="1:6" ht="15.75" x14ac:dyDescent="0.25">
      <c r="A42" s="9"/>
      <c r="B42" s="9"/>
      <c r="C42" s="28" t="s">
        <v>15</v>
      </c>
      <c r="D42" s="29"/>
      <c r="E42" s="7">
        <f>SUM(E40:E41)</f>
        <v>4618520</v>
      </c>
      <c r="F42" s="7">
        <f>SUM(F40:F41)</f>
        <v>10313200</v>
      </c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2026-09-04T10:05:41Z</dcterms:modified>
</cp:coreProperties>
</file>