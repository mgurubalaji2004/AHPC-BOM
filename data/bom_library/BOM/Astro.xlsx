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2" i="1" l="1"/>
  <c r="E71" i="1"/>
  <c r="E54" i="1"/>
  <c r="E53" i="1"/>
  <c r="E36" i="1"/>
  <c r="E35" i="1"/>
  <c r="E15" i="1" l="1"/>
  <c r="E69" i="1"/>
  <c r="E51" i="1"/>
  <c r="E33" i="1"/>
</calcChain>
</file>

<file path=xl/sharedStrings.xml><?xml version="1.0" encoding="utf-8"?>
<sst xmlns="http://schemas.openxmlformats.org/spreadsheetml/2006/main" count="115" uniqueCount="35">
  <si>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</si>
  <si>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</si>
  <si>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</si>
  <si>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</si>
  <si>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</si>
  <si>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</si>
  <si>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</si>
  <si>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</si>
  <si>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</si>
  <si>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</si>
  <si>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</si>
  <si>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</si>
  <si>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</si>
  <si>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</si>
  <si>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</si>
  <si>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</si>
  <si>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</si>
  <si>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</si>
  <si>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</si>
  <si>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</si>
  <si>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GPU</t>
  </si>
  <si>
    <t>NVMe</t>
  </si>
  <si>
    <t>500GB NVMe M.2 SSD</t>
  </si>
  <si>
    <t>8TB NVMe M.2 SSD</t>
  </si>
  <si>
    <t>32GB DDR5 6000MHz</t>
  </si>
  <si>
    <t>360mm Liquid Cooler</t>
  </si>
  <si>
    <t>AHPC WAVES</t>
  </si>
  <si>
    <t>TRX50 AERO D AMD TRX50 Chipset with 4 x DIMMs Motherboard</t>
  </si>
  <si>
    <t>NVIDIA RTX 5090</t>
  </si>
  <si>
    <t xml:space="preserve">1300W ATX </t>
  </si>
  <si>
    <t>NVIDIA RTX 6000 Ada</t>
  </si>
  <si>
    <t>64GB DDR5 6000MHz</t>
  </si>
  <si>
    <t>NVIDIA RTX 5000 Ada</t>
  </si>
  <si>
    <t>AMD Ryzen™ Threadripper™ 7955WX</t>
  </si>
  <si>
    <t>AMD Ryzen™ Threadripper™ PRO 9955WX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</si>
</sst>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tabSelected="1" zoomScaleNormal="100" workbookViewId="0">
      <selection activeCell="C17" sqref="C17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0"/>
      <c r="E2" s="31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6" ht="15.75" x14ac:dyDescent="0.25">
      <c r="A4" s="9" t="s">
        <v>7</v>
      </c>
      <c r="B4" s="10" t="s">
        <v>26</v>
      </c>
      <c r="C4" s="11">
        <v>1</v>
      </c>
      <c r="D4" s="12">
        <v>23000</v>
      </c>
      <c r="E4" s="13">
        <v>12000</v>
      </c>
      <c r="F4" s="14"/>
    </row>
    <row r="5" spans="1:6" ht="31.5" x14ac:dyDescent="0.25">
      <c r="A5" s="9" t="s">
        <v>8</v>
      </c>
      <c r="B5" s="15" t="s">
        <v>27</v>
      </c>
      <c r="C5" s="11">
        <v>1</v>
      </c>
      <c r="D5" s="12">
        <v>54500</v>
      </c>
      <c r="E5" s="13">
        <v>55000</v>
      </c>
      <c r="F5" s="14"/>
    </row>
    <row r="6" spans="1:6" ht="15.75" x14ac:dyDescent="0.25">
      <c r="A6" s="9" t="s">
        <v>9</v>
      </c>
      <c r="B6" s="16" t="s">
        <v>33</v>
      </c>
      <c r="C6" s="11">
        <v>1</v>
      </c>
      <c r="D6" s="12">
        <v>131000</v>
      </c>
      <c r="E6" s="17">
        <v>131000</v>
      </c>
      <c r="F6" s="14"/>
    </row>
    <row r="7" spans="1:6" ht="15.75" x14ac:dyDescent="0.25">
      <c r="A7" s="9" t="s">
        <v>10</v>
      </c>
      <c r="B7" s="18" t="s">
        <v>25</v>
      </c>
      <c r="C7" s="11">
        <v>1</v>
      </c>
      <c r="D7" s="12">
        <v>9500</v>
      </c>
      <c r="E7" s="17">
        <v>8500</v>
      </c>
      <c r="F7" s="14"/>
    </row>
    <row r="8" spans="1:6" ht="15.75" x14ac:dyDescent="0.25">
      <c r="A8" s="9" t="s">
        <v>11</v>
      </c>
      <c r="B8" s="19" t="s">
        <v>24</v>
      </c>
      <c r="C8" s="11">
        <v>4</v>
      </c>
      <c r="D8" s="12">
        <v>50000</v>
      </c>
      <c r="E8" s="17">
        <v>200000</v>
      </c>
      <c r="F8" s="14"/>
    </row>
    <row r="9" spans="1:6" ht="15.75" x14ac:dyDescent="0.25">
      <c r="A9" s="9" t="s">
        <v>21</v>
      </c>
      <c r="B9" s="19" t="s">
        <v>22</v>
      </c>
      <c r="C9" s="11">
        <v>1</v>
      </c>
      <c r="D9" s="12">
        <v>8500</v>
      </c>
      <c r="E9" s="17">
        <v>8500</v>
      </c>
      <c r="F9" s="14"/>
    </row>
    <row r="10" spans="1:6" ht="15.75" x14ac:dyDescent="0.25">
      <c r="A10" s="9" t="s">
        <v>12</v>
      </c>
      <c r="B10" s="16" t="s">
        <v>23</v>
      </c>
      <c r="C10" s="11">
        <v>1</v>
      </c>
      <c r="D10" s="12">
        <v>145000</v>
      </c>
      <c r="E10" s="17">
        <v>145000</v>
      </c>
      <c r="F10" s="14"/>
    </row>
    <row r="11" spans="1:6" ht="15.75" x14ac:dyDescent="0.25">
      <c r="A11" s="9" t="s">
        <v>20</v>
      </c>
      <c r="B11" s="16" t="s">
        <v>28</v>
      </c>
      <c r="C11" s="11">
        <v>1</v>
      </c>
      <c r="D11" s="12">
        <v>495000</v>
      </c>
      <c r="E11" s="17">
        <v>495000</v>
      </c>
      <c r="F11" s="14"/>
    </row>
    <row r="12" spans="1:6" ht="15.75" x14ac:dyDescent="0.25">
      <c r="A12" s="9" t="s">
        <v>13</v>
      </c>
      <c r="B12" s="16" t="s">
        <v>29</v>
      </c>
      <c r="C12" s="11">
        <v>1</v>
      </c>
      <c r="D12" s="12">
        <v>15000</v>
      </c>
      <c r="E12" s="20">
        <v>15000</v>
      </c>
      <c r="F12" s="14"/>
    </row>
    <row r="13" spans="1:6" ht="15.75" x14ac:dyDescent="0.25">
      <c r="A13" s="9"/>
      <c r="B13" s="14"/>
      <c r="C13" s="11"/>
      <c r="D13" s="21"/>
      <c r="E13" s="22"/>
      <c r="F13" s="14"/>
    </row>
    <row r="14" spans="1:6" ht="14.25" customHeight="1" x14ac:dyDescent="0.25">
      <c r="A14" s="9"/>
      <c r="B14" s="19"/>
      <c r="C14" s="11"/>
      <c r="D14" s="12"/>
      <c r="E14" s="20"/>
      <c r="F14" s="14"/>
    </row>
    <row r="15" spans="1:6" ht="16.149999999999999" customHeight="1" x14ac:dyDescent="0.25">
      <c r="A15" s="9"/>
      <c r="B15" s="23"/>
      <c r="C15" s="24" t="s">
        <v>17</v>
      </c>
      <c r="D15" s="25"/>
      <c r="E15" s="26">
        <f>SUM(E4:E14)</f>
        <v>1070000</v>
      </c>
      <c r="F15" s="14"/>
    </row>
    <row r="16" spans="1:6" ht="18" customHeight="1" x14ac:dyDescent="0.25">
      <c r="A16" s="9"/>
      <c r="B16" s="9"/>
      <c r="C16" s="24" t="s">
        <v>18</v>
      </c>
      <c r="D16" s="27"/>
      <c r="E16" s="8">
        <v>1230500</v>
      </c>
      <c r="F16" s="14"/>
    </row>
    <row r="17" spans="1:6" ht="15.75" x14ac:dyDescent="0.25">
      <c r="A17" s="9"/>
      <c r="B17" s="9"/>
      <c r="C17" s="28" t="s">
        <v>14</v>
      </c>
      <c r="D17" s="29"/>
      <c r="E17" s="7">
        <v>221490</v>
      </c>
      <c r="F17" s="14"/>
    </row>
    <row r="18" spans="1:6" ht="15.75" x14ac:dyDescent="0.25">
      <c r="A18" s="9"/>
      <c r="B18" s="9"/>
      <c r="C18" s="28" t="s">
        <v>15</v>
      </c>
      <c r="D18" s="29"/>
      <c r="E18" s="7">
        <v>1451990</v>
      </c>
      <c r="F18" s="14"/>
    </row>
    <row r="21" spans="1:6" x14ac:dyDescent="0.25">
      <c r="A21" s="6" t="s">
        <v>3</v>
      </c>
      <c r="B21" s="6" t="s">
        <v>4</v>
      </c>
      <c r="C21" s="6" t="s">
        <v>5</v>
      </c>
      <c r="D21" s="6" t="s">
        <v>16</v>
      </c>
      <c r="E21" s="6" t="s">
        <v>6</v>
      </c>
      <c r="F21" s="6" t="s">
        <v>19</v>
      </c>
    </row>
    <row r="22" spans="1:6" ht="15.75" x14ac:dyDescent="0.25">
      <c r="A22" s="9" t="s">
        <v>7</v>
      </c>
      <c r="B22" s="10" t="s">
        <v>26</v>
      </c>
      <c r="C22" s="11">
        <v>1</v>
      </c>
      <c r="D22" s="12">
        <v>23000</v>
      </c>
      <c r="E22" s="13">
        <v>23000</v>
      </c>
      <c r="F22" s="14"/>
    </row>
    <row r="23" spans="1:6" ht="31.5" x14ac:dyDescent="0.25">
      <c r="A23" s="9" t="s">
        <v>8</v>
      </c>
      <c r="B23" s="15" t="s">
        <v>27</v>
      </c>
      <c r="C23" s="11">
        <v>1</v>
      </c>
      <c r="D23" s="12">
        <v>54500</v>
      </c>
      <c r="E23" s="13">
        <v>55000</v>
      </c>
      <c r="F23" s="14"/>
    </row>
    <row r="24" spans="1:6" ht="15.75" x14ac:dyDescent="0.25">
      <c r="A24" s="9" t="s">
        <v>9</v>
      </c>
      <c r="B24" s="16" t="s">
        <v>33</v>
      </c>
      <c r="C24" s="11">
        <v>1</v>
      </c>
      <c r="D24" s="12">
        <v>131000</v>
      </c>
      <c r="E24" s="17">
        <v>131000</v>
      </c>
      <c r="F24" s="14"/>
    </row>
    <row r="25" spans="1:6" ht="15.75" x14ac:dyDescent="0.25">
      <c r="A25" s="9" t="s">
        <v>10</v>
      </c>
      <c r="B25" s="18" t="s">
        <v>25</v>
      </c>
      <c r="C25" s="11">
        <v>1</v>
      </c>
      <c r="D25" s="12">
        <v>9500</v>
      </c>
      <c r="E25" s="17">
        <v>8500</v>
      </c>
      <c r="F25" s="14"/>
    </row>
    <row r="26" spans="1:6" ht="15.75" x14ac:dyDescent="0.25">
      <c r="A26" s="9" t="s">
        <v>11</v>
      </c>
      <c r="B26" s="19" t="s">
        <v>31</v>
      </c>
      <c r="C26" s="11">
        <v>4</v>
      </c>
      <c r="D26" s="12">
        <v>100000</v>
      </c>
      <c r="E26" s="17">
        <v>400000</v>
      </c>
      <c r="F26" s="14"/>
    </row>
    <row r="27" spans="1:6" ht="15.75" x14ac:dyDescent="0.25">
      <c r="A27" s="9" t="s">
        <v>21</v>
      </c>
      <c r="B27" s="19" t="s">
        <v>22</v>
      </c>
      <c r="C27" s="11">
        <v>1</v>
      </c>
      <c r="D27" s="12">
        <v>8500</v>
      </c>
      <c r="E27" s="17">
        <v>8500</v>
      </c>
      <c r="F27" s="14"/>
    </row>
    <row r="28" spans="1:6" ht="15.75" x14ac:dyDescent="0.25">
      <c r="A28" s="9" t="s">
        <v>12</v>
      </c>
      <c r="B28" s="16" t="s">
        <v>23</v>
      </c>
      <c r="C28" s="11">
        <v>1</v>
      </c>
      <c r="D28" s="12">
        <v>145000</v>
      </c>
      <c r="E28" s="17">
        <v>145000</v>
      </c>
      <c r="F28" s="14"/>
    </row>
    <row r="29" spans="1:6" ht="15.75" x14ac:dyDescent="0.25">
      <c r="A29" s="9" t="s">
        <v>20</v>
      </c>
      <c r="B29" s="16" t="s">
        <v>30</v>
      </c>
      <c r="C29" s="11">
        <v>1</v>
      </c>
      <c r="D29" s="12">
        <v>700000</v>
      </c>
      <c r="E29" s="17">
        <v>700000</v>
      </c>
      <c r="F29" s="14"/>
    </row>
    <row r="30" spans="1:6" ht="15.75" x14ac:dyDescent="0.25">
      <c r="A30" s="9" t="s">
        <v>13</v>
      </c>
      <c r="B30" s="16" t="s">
        <v>29</v>
      </c>
      <c r="C30" s="11">
        <v>1</v>
      </c>
      <c r="D30" s="12">
        <v>15000</v>
      </c>
      <c r="E30" s="20">
        <v>15000</v>
      </c>
      <c r="F30" s="14"/>
    </row>
    <row r="31" spans="1:6" ht="15.75" x14ac:dyDescent="0.25">
      <c r="A31" s="9"/>
      <c r="B31" s="14"/>
      <c r="C31" s="11"/>
      <c r="D31" s="21"/>
      <c r="E31" s="22"/>
      <c r="F31" s="14"/>
    </row>
    <row r="32" spans="1:6" ht="15.75" x14ac:dyDescent="0.25">
      <c r="A32" s="9"/>
      <c r="B32" s="19"/>
      <c r="C32" s="11"/>
      <c r="D32" s="12"/>
      <c r="E32" s="20"/>
      <c r="F32" s="14"/>
    </row>
    <row r="33" spans="1:6" ht="15.75" x14ac:dyDescent="0.25">
      <c r="A33" s="9"/>
      <c r="B33" s="23"/>
      <c r="C33" s="24" t="s">
        <v>17</v>
      </c>
      <c r="D33" s="25"/>
      <c r="E33" s="26">
        <f>SUM(E22:E32)</f>
        <v>1486000</v>
      </c>
      <c r="F33" s="14"/>
    </row>
    <row r="34" spans="1:6" ht="15.75" x14ac:dyDescent="0.25">
      <c r="A34" s="9"/>
      <c r="B34" s="9"/>
      <c r="C34" s="24" t="s">
        <v>18</v>
      </c>
      <c r="D34" s="27"/>
      <c r="E34" s="8">
        <v>1708900</v>
      </c>
      <c r="F34" s="14"/>
    </row>
    <row r="35" spans="1:6" ht="15.75" x14ac:dyDescent="0.25">
      <c r="A35" s="9"/>
      <c r="B35" s="9"/>
      <c r="C35" s="28" t="s">
        <v>14</v>
      </c>
      <c r="D35" s="29"/>
      <c r="E35" s="7">
        <f>E34*18%</f>
        <v>307602</v>
      </c>
      <c r="F35" s="14"/>
    </row>
    <row r="36" spans="1:6" ht="15.75" x14ac:dyDescent="0.25">
      <c r="A36" s="9"/>
      <c r="B36" s="9"/>
      <c r="C36" s="28" t="s">
        <v>15</v>
      </c>
      <c r="D36" s="29"/>
      <c r="E36" s="7">
        <f>SUM(E34:E35)</f>
        <v>2016502</v>
      </c>
      <c r="F36" s="14"/>
    </row>
    <row r="39" spans="1:6" x14ac:dyDescent="0.25">
      <c r="A39" s="6" t="s">
        <v>3</v>
      </c>
      <c r="B39" s="6" t="s">
        <v>4</v>
      </c>
      <c r="C39" s="6" t="s">
        <v>5</v>
      </c>
      <c r="D39" s="6" t="s">
        <v>16</v>
      </c>
      <c r="E39" s="6" t="s">
        <v>6</v>
      </c>
      <c r="F39" s="6" t="s">
        <v>19</v>
      </c>
    </row>
    <row r="40" spans="1:6" ht="15.75" x14ac:dyDescent="0.25">
      <c r="A40" s="9" t="s">
        <v>7</v>
      </c>
      <c r="B40" s="10" t="s">
        <v>26</v>
      </c>
      <c r="C40" s="11">
        <v>1</v>
      </c>
      <c r="D40" s="12">
        <v>23000</v>
      </c>
      <c r="E40" s="13">
        <v>23000</v>
      </c>
      <c r="F40" s="14"/>
    </row>
    <row r="41" spans="1:6" ht="31.5" x14ac:dyDescent="0.25">
      <c r="A41" s="9" t="s">
        <v>8</v>
      </c>
      <c r="B41" s="15" t="s">
        <v>27</v>
      </c>
      <c r="C41" s="11">
        <v>1</v>
      </c>
      <c r="D41" s="12">
        <v>54500</v>
      </c>
      <c r="E41" s="13">
        <v>55000</v>
      </c>
      <c r="F41" s="14"/>
    </row>
    <row r="42" spans="1:6" ht="15.75" x14ac:dyDescent="0.25">
      <c r="A42" s="9" t="s">
        <v>9</v>
      </c>
      <c r="B42" s="16" t="s">
        <v>33</v>
      </c>
      <c r="C42" s="11">
        <v>1</v>
      </c>
      <c r="D42" s="12">
        <v>131000</v>
      </c>
      <c r="E42" s="17">
        <v>131000</v>
      </c>
      <c r="F42" s="14"/>
    </row>
    <row r="43" spans="1:6" ht="15.75" x14ac:dyDescent="0.25">
      <c r="A43" s="9" t="s">
        <v>10</v>
      </c>
      <c r="B43" s="18" t="s">
        <v>25</v>
      </c>
      <c r="C43" s="11">
        <v>1</v>
      </c>
      <c r="D43" s="12">
        <v>9500</v>
      </c>
      <c r="E43" s="17">
        <v>8500</v>
      </c>
      <c r="F43" s="14"/>
    </row>
    <row r="44" spans="1:6" ht="15.75" x14ac:dyDescent="0.25">
      <c r="A44" s="9" t="s">
        <v>11</v>
      </c>
      <c r="B44" s="19" t="s">
        <v>24</v>
      </c>
      <c r="C44" s="11">
        <v>4</v>
      </c>
      <c r="D44" s="12">
        <v>45000</v>
      </c>
      <c r="E44" s="17">
        <v>190000</v>
      </c>
      <c r="F44" s="14"/>
    </row>
    <row r="45" spans="1:6" ht="15.75" x14ac:dyDescent="0.25">
      <c r="A45" s="9" t="s">
        <v>21</v>
      </c>
      <c r="B45" s="19" t="s">
        <v>22</v>
      </c>
      <c r="C45" s="11">
        <v>1</v>
      </c>
      <c r="D45" s="12">
        <v>8500</v>
      </c>
      <c r="E45" s="17">
        <v>8500</v>
      </c>
      <c r="F45" s="14"/>
    </row>
    <row r="46" spans="1:6" ht="15.75" x14ac:dyDescent="0.25">
      <c r="A46" s="9" t="s">
        <v>12</v>
      </c>
      <c r="B46" s="16" t="s">
        <v>23</v>
      </c>
      <c r="C46" s="11">
        <v>1</v>
      </c>
      <c r="D46" s="12">
        <v>145000</v>
      </c>
      <c r="E46" s="17">
        <v>145000</v>
      </c>
      <c r="F46" s="14"/>
    </row>
    <row r="47" spans="1:6" ht="15.75" x14ac:dyDescent="0.25">
      <c r="A47" s="9" t="s">
        <v>20</v>
      </c>
      <c r="B47" s="16" t="s">
        <v>32</v>
      </c>
      <c r="C47" s="11">
        <v>1</v>
      </c>
      <c r="D47" s="12">
        <v>520000</v>
      </c>
      <c r="E47" s="17">
        <v>520000</v>
      </c>
      <c r="F47" s="14"/>
    </row>
    <row r="48" spans="1:6" ht="15.75" x14ac:dyDescent="0.25">
      <c r="A48" s="9" t="s">
        <v>13</v>
      </c>
      <c r="B48" s="16" t="s">
        <v>29</v>
      </c>
      <c r="C48" s="11">
        <v>1</v>
      </c>
      <c r="D48" s="12">
        <v>15000</v>
      </c>
      <c r="E48" s="20">
        <v>15000</v>
      </c>
      <c r="F48" s="14"/>
    </row>
    <row r="49" spans="1:6" ht="15.75" x14ac:dyDescent="0.25">
      <c r="A49" s="9"/>
      <c r="B49" s="14"/>
      <c r="C49" s="11"/>
      <c r="D49" s="21"/>
      <c r="E49" s="22"/>
      <c r="F49" s="14"/>
    </row>
    <row r="50" spans="1:6" ht="15.75" x14ac:dyDescent="0.25">
      <c r="A50" s="9"/>
      <c r="B50" s="19"/>
      <c r="C50" s="11"/>
      <c r="D50" s="12"/>
      <c r="E50" s="20"/>
      <c r="F50" s="14"/>
    </row>
    <row r="51" spans="1:6" ht="15.75" x14ac:dyDescent="0.25">
      <c r="A51" s="9"/>
      <c r="B51" s="23"/>
      <c r="C51" s="24" t="s">
        <v>17</v>
      </c>
      <c r="D51" s="25"/>
      <c r="E51" s="26">
        <f>SUM(E40:E50)</f>
        <v>1096000</v>
      </c>
      <c r="F51" s="14"/>
    </row>
    <row r="52" spans="1:6" ht="15.75" x14ac:dyDescent="0.25">
      <c r="A52" s="9"/>
      <c r="B52" s="9"/>
      <c r="C52" s="24" t="s">
        <v>18</v>
      </c>
      <c r="D52" s="27"/>
      <c r="E52" s="8">
        <v>1260400</v>
      </c>
      <c r="F52" s="14"/>
    </row>
    <row r="53" spans="1:6" ht="15.75" x14ac:dyDescent="0.25">
      <c r="A53" s="9"/>
      <c r="B53" s="9"/>
      <c r="C53" s="28" t="s">
        <v>14</v>
      </c>
      <c r="D53" s="29"/>
      <c r="E53" s="7">
        <f>E52*18%</f>
        <v>226872</v>
      </c>
      <c r="F53" s="14"/>
    </row>
    <row r="54" spans="1:6" ht="15.75" x14ac:dyDescent="0.25">
      <c r="A54" s="9"/>
      <c r="B54" s="9"/>
      <c r="C54" s="28" t="s">
        <v>15</v>
      </c>
      <c r="D54" s="29"/>
      <c r="E54" s="7">
        <f>SUM(E52:E53)</f>
        <v>1487272</v>
      </c>
      <c r="F54" s="14"/>
    </row>
    <row r="57" spans="1:6" x14ac:dyDescent="0.25">
      <c r="A57" s="6" t="s">
        <v>3</v>
      </c>
      <c r="B57" s="6" t="s">
        <v>4</v>
      </c>
      <c r="C57" s="6" t="s">
        <v>5</v>
      </c>
      <c r="D57" s="6" t="s">
        <v>16</v>
      </c>
      <c r="E57" s="6" t="s">
        <v>6</v>
      </c>
      <c r="F57" s="6" t="s">
        <v>19</v>
      </c>
    </row>
    <row r="58" spans="1:6" ht="15.75" x14ac:dyDescent="0.25">
      <c r="A58" s="9" t="s">
        <v>7</v>
      </c>
      <c r="B58" s="10" t="s">
        <v>26</v>
      </c>
      <c r="C58" s="11">
        <v>1</v>
      </c>
      <c r="D58" s="12">
        <v>23000</v>
      </c>
      <c r="E58" s="13">
        <v>23000</v>
      </c>
      <c r="F58" s="14"/>
    </row>
    <row r="59" spans="1:6" ht="31.5" x14ac:dyDescent="0.25">
      <c r="A59" s="9" t="s">
        <v>8</v>
      </c>
      <c r="B59" s="15" t="s">
        <v>27</v>
      </c>
      <c r="C59" s="11">
        <v>1</v>
      </c>
      <c r="D59" s="12">
        <v>54500</v>
      </c>
      <c r="E59" s="13">
        <v>55000</v>
      </c>
      <c r="F59" s="14"/>
    </row>
    <row r="60" spans="1:6" ht="15.75" x14ac:dyDescent="0.25">
      <c r="A60" s="9" t="s">
        <v>9</v>
      </c>
      <c r="B60" s="16" t="s">
        <v>34</v>
      </c>
      <c r="C60" s="11">
        <v>1</v>
      </c>
      <c r="D60" s="12">
        <v>145000</v>
      </c>
      <c r="E60" s="17">
        <v>150000</v>
      </c>
      <c r="F60" s="14"/>
    </row>
    <row r="61" spans="1:6" ht="15.75" x14ac:dyDescent="0.25">
      <c r="A61" s="9" t="s">
        <v>10</v>
      </c>
      <c r="B61" s="18" t="s">
        <v>25</v>
      </c>
      <c r="C61" s="11">
        <v>1</v>
      </c>
      <c r="D61" s="12">
        <v>8500</v>
      </c>
      <c r="E61" s="17">
        <v>8500</v>
      </c>
      <c r="F61" s="14"/>
    </row>
    <row r="62" spans="1:6" ht="15.75" x14ac:dyDescent="0.25">
      <c r="A62" s="9" t="s">
        <v>11</v>
      </c>
      <c r="B62" s="19" t="s">
        <v>24</v>
      </c>
      <c r="C62" s="11">
        <v>4</v>
      </c>
      <c r="D62" s="12">
        <v>45000</v>
      </c>
      <c r="E62" s="17">
        <v>190000</v>
      </c>
      <c r="F62" s="14"/>
    </row>
    <row r="63" spans="1:6" ht="15.75" x14ac:dyDescent="0.25">
      <c r="A63" s="9" t="s">
        <v>21</v>
      </c>
      <c r="B63" s="19" t="s">
        <v>22</v>
      </c>
      <c r="C63" s="11">
        <v>1</v>
      </c>
      <c r="D63" s="12">
        <v>8500</v>
      </c>
      <c r="E63" s="17">
        <v>10000</v>
      </c>
      <c r="F63" s="14"/>
    </row>
    <row r="64" spans="1:6" ht="15.75" x14ac:dyDescent="0.25">
      <c r="A64" s="9" t="s">
        <v>12</v>
      </c>
      <c r="B64" s="16" t="s">
        <v>23</v>
      </c>
      <c r="C64" s="11">
        <v>1</v>
      </c>
      <c r="D64" s="12">
        <v>145000</v>
      </c>
      <c r="E64" s="17">
        <v>145000</v>
      </c>
      <c r="F64" s="14"/>
    </row>
    <row r="65" spans="1:6" ht="15.75" x14ac:dyDescent="0.25">
      <c r="A65" s="9" t="s">
        <v>20</v>
      </c>
      <c r="B65" s="16" t="s">
        <v>32</v>
      </c>
      <c r="C65" s="11">
        <v>1</v>
      </c>
      <c r="D65" s="12">
        <v>520000</v>
      </c>
      <c r="E65" s="17">
        <v>520000</v>
      </c>
      <c r="F65" s="14"/>
    </row>
    <row r="66" spans="1:6" ht="15.75" x14ac:dyDescent="0.25">
      <c r="A66" s="9" t="s">
        <v>13</v>
      </c>
      <c r="B66" s="16" t="s">
        <v>29</v>
      </c>
      <c r="C66" s="11">
        <v>1</v>
      </c>
      <c r="D66" s="12">
        <v>15000</v>
      </c>
      <c r="E66" s="20">
        <v>15000</v>
      </c>
      <c r="F66" s="14"/>
    </row>
    <row r="67" spans="1:6" ht="15.75" x14ac:dyDescent="0.25">
      <c r="A67" s="9"/>
      <c r="B67" s="14"/>
      <c r="C67" s="11"/>
      <c r="D67" s="21"/>
      <c r="E67" s="22"/>
      <c r="F67" s="14"/>
    </row>
    <row r="68" spans="1:6" ht="15.75" x14ac:dyDescent="0.25">
      <c r="A68" s="9"/>
      <c r="B68" s="19"/>
      <c r="C68" s="11"/>
      <c r="D68" s="12"/>
      <c r="E68" s="20"/>
      <c r="F68" s="14"/>
    </row>
    <row r="69" spans="1:6" ht="15.75" x14ac:dyDescent="0.25">
      <c r="A69" s="9"/>
      <c r="B69" s="23"/>
      <c r="C69" s="24" t="s">
        <v>17</v>
      </c>
      <c r="D69" s="25"/>
      <c r="E69" s="26">
        <f>SUM(E58:E68)</f>
        <v>1116500</v>
      </c>
      <c r="F69" s="14"/>
    </row>
    <row r="70" spans="1:6" ht="15.75" x14ac:dyDescent="0.25">
      <c r="A70" s="9"/>
      <c r="B70" s="9"/>
      <c r="C70" s="24" t="s">
        <v>18</v>
      </c>
      <c r="D70" s="27"/>
      <c r="E70" s="8">
        <v>1283975</v>
      </c>
      <c r="F70" s="14"/>
    </row>
    <row r="71" spans="1:6" ht="15.75" x14ac:dyDescent="0.25">
      <c r="A71" s="9"/>
      <c r="B71" s="9"/>
      <c r="C71" s="28" t="s">
        <v>14</v>
      </c>
      <c r="D71" s="29"/>
      <c r="E71" s="7">
        <f>E70*18%</f>
        <v>231115.5</v>
      </c>
      <c r="F71" s="14"/>
    </row>
    <row r="72" spans="1:6" ht="15.75" x14ac:dyDescent="0.25">
      <c r="A72" s="9"/>
      <c r="B72" s="9"/>
      <c r="C72" s="28" t="s">
        <v>15</v>
      </c>
      <c r="D72" s="29"/>
      <c r="E72" s="7">
        <f>SUM(E70:E71)</f>
        <v>1515090.5</v>
      </c>
      <c r="F72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2026-08-14T04:46:49Z</dcterms:modified>
</cp:coreProperties>
</file>