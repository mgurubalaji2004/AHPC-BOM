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14370" windowHeight="12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33" i="1" l="1"/>
  <c r="E46" i="1"/>
  <c r="E43" i="1"/>
  <c r="E48" i="1" s="1"/>
  <c r="E49" i="1" s="1"/>
  <c r="E50" i="1" l="1"/>
  <c r="E51" i="1" l="1"/>
  <c r="E52" i="1" s="1"/>
  <c r="E8" i="1" l="1"/>
  <c r="E32" i="1" l="1"/>
  <c r="E13" i="1"/>
  <c r="E14" i="1" l="1"/>
  <c r="E15" i="1" s="1"/>
  <c r="E34" i="1"/>
  <c r="E35" i="1" l="1"/>
  <c r="E36" i="1" s="1"/>
  <c r="E17" i="1"/>
  <c r="E16" i="1"/>
</calcChain>
</file>

<file path=xl/sharedStrings.xml><?xml version="1.0" encoding="utf-8"?>
<sst xmlns="http://schemas.openxmlformats.org/spreadsheetml/2006/main" count="92" uniqueCount="49">
  <si>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</si>
  <si>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</si>
  <si>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</si>
  <si>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</si>
  <si>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</si>
  <si>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</si>
  <si>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</si>
  <si>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</si>
  <si>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</si>
  <si>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</si>
  <si>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</si>
  <si>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</si>
  <si>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</si>
  <si>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</si>
  <si>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</si>
  <si>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</si>
  <si>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</si>
  <si>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</si>
  <si>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</si>
  <si>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GRAPHIC CARD</t>
  </si>
  <si>
    <t>360mm Liquid CPU Cooler</t>
  </si>
  <si>
    <t>Intel® Core™ Ultra 9 Processor 285K
(24 Core, Up to 5.7GHz, 36MB Cache, LGA1851)</t>
  </si>
  <si>
    <t>GIGABYTE Z890 AORUS ELITE WIFI7  Workstation Motherboard</t>
  </si>
  <si>
    <t xml:space="preserve">500 GB M.2 Nvme SSD </t>
  </si>
  <si>
    <t>NVIDIA RTX PRO 4000 Blackwell 24GB GDDR7</t>
  </si>
  <si>
    <t>NVIDIA RTX PRO 4500 Blackwell 32GB GDDR7</t>
  </si>
  <si>
    <t>850W 80+ Gold Power Supply</t>
  </si>
  <si>
    <t>Hyte X50 Workstation Chassis</t>
  </si>
  <si>
    <t>Margin(15%)</t>
  </si>
  <si>
    <t>4TB M.2 NVMe PCIe Gen4 SSD</t>
  </si>
  <si>
    <t>crucial p3 plus  4TB M.2 NVMe SSD</t>
  </si>
  <si>
    <t>500GB M.2 NVMe SSD</t>
  </si>
  <si>
    <t>8500W 80+ Gold Power Supply</t>
  </si>
  <si>
    <t xml:space="preserve"> </t>
  </si>
  <si>
    <t>2 × 64GB DDR5 5600MT/s RAM</t>
  </si>
  <si>
    <t>From</t>
  </si>
  <si>
    <t>Turin 8X AsRock</t>
  </si>
  <si>
    <t xml:space="preserve">AMD EPYC™ 9354P (32-Cores, Base Freq 3.25GHz, Max Freq 3.8GHz, Cache 256MB) </t>
  </si>
  <si>
    <t>J12</t>
  </si>
  <si>
    <t>64GB DDR5 4800MHz ECC</t>
  </si>
  <si>
    <t>3.84TB U.3 NVMe SSD</t>
  </si>
  <si>
    <t>GPU</t>
  </si>
  <si>
    <t>4× NVIDIA L40S 48GB</t>
  </si>
  <si>
    <t>Margin-15%</t>
  </si>
  <si>
    <t xml:space="preserve">RAID </t>
  </si>
  <si>
    <t>9560-16i</t>
  </si>
  <si>
    <t>2700W RPS</t>
  </si>
  <si>
    <t>XV23-ZU0-AAJ1</t>
  </si>
  <si>
    <t>https://www.gigabyte.com/us/Enterprise/Rack-Server/XV23-ZU0-AAJ1-rev-3x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</si>
</sst>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/>
    </xf>
    <xf numFmtId="4" fontId="0" fillId="0" borderId="0" xfId="0" applyNumberFormat="1"/>
    <xf numFmtId="3" fontId="0" fillId="0" borderId="4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right"/>
    </xf>
    <xf numFmtId="9" fontId="4" fillId="4" borderId="1" xfId="0" applyNumberFormat="1" applyFont="1" applyFill="1" applyBorder="1" applyAlignment="1">
      <alignment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center"/>
    </xf>
    <xf numFmtId="4" fontId="0" fillId="0" borderId="1" xfId="0" applyNumberFormat="1" applyBorder="1"/>
    <xf numFmtId="0" fontId="0" fillId="4" borderId="0" xfId="0" applyFill="1"/>
    <xf numFmtId="14" fontId="0" fillId="0" borderId="2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6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igabyte.com/us/Enterprise/Rack-Server/XV23-ZU0-AAJ1-rev-3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7" zoomScale="115" zoomScaleNormal="115" workbookViewId="0">
      <selection activeCell="E39" sqref="E39:E40"/>
    </sheetView>
  </sheetViews>
  <sheetFormatPr defaultRowHeight="15" x14ac:dyDescent="0.25"/>
  <cols>
    <col min="1" max="1" width="15.28515625" customWidth="1"/>
    <col min="2" max="2" width="49.28515625" customWidth="1"/>
    <col min="3" max="3" width="11.85546875" customWidth="1"/>
    <col min="4" max="4" width="15.5703125" customWidth="1"/>
    <col min="5" max="5" width="16.7109375" customWidth="1"/>
    <col min="6" max="6" width="18" customWidth="1"/>
    <col min="7" max="7" width="7.5703125" customWidth="1"/>
    <col min="8" max="8" width="11.5703125" bestFit="1" customWidth="1"/>
  </cols>
  <sheetData>
    <row r="1" spans="1:8" x14ac:dyDescent="0.25">
      <c r="A1" s="1" t="s">
        <v>0</v>
      </c>
      <c r="B1" s="1"/>
      <c r="C1" s="2"/>
      <c r="D1" s="2"/>
      <c r="E1" s="2"/>
      <c r="F1" s="3"/>
    </row>
    <row r="2" spans="1:8" x14ac:dyDescent="0.25">
      <c r="A2" s="4" t="s">
        <v>1</v>
      </c>
      <c r="B2" s="2"/>
      <c r="C2" s="5" t="s">
        <v>2</v>
      </c>
      <c r="D2" s="47"/>
      <c r="E2" s="48"/>
      <c r="F2" s="3"/>
    </row>
    <row r="3" spans="1:8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8" x14ac:dyDescent="0.25">
      <c r="A4" s="2" t="s">
        <v>7</v>
      </c>
      <c r="B4" s="12" t="s">
        <v>27</v>
      </c>
      <c r="C4" s="8">
        <v>1</v>
      </c>
      <c r="D4" s="13">
        <v>11500</v>
      </c>
      <c r="E4" s="13">
        <v>11500</v>
      </c>
      <c r="F4" s="13"/>
      <c r="H4" s="20"/>
    </row>
    <row r="5" spans="1:8" ht="30" x14ac:dyDescent="0.25">
      <c r="A5" s="2" t="s">
        <v>8</v>
      </c>
      <c r="B5" s="11" t="s">
        <v>22</v>
      </c>
      <c r="C5" s="8">
        <v>1</v>
      </c>
      <c r="D5" s="13">
        <v>28000</v>
      </c>
      <c r="E5" s="13">
        <v>30000</v>
      </c>
      <c r="F5" s="13"/>
      <c r="H5" s="20"/>
    </row>
    <row r="6" spans="1:8" ht="30" x14ac:dyDescent="0.25">
      <c r="A6" s="2" t="s">
        <v>9</v>
      </c>
      <c r="B6" s="7" t="s">
        <v>21</v>
      </c>
      <c r="C6" s="8">
        <v>1</v>
      </c>
      <c r="D6" s="13">
        <v>52000</v>
      </c>
      <c r="E6" s="13">
        <v>52000</v>
      </c>
      <c r="F6" s="13"/>
      <c r="H6" s="20"/>
    </row>
    <row r="7" spans="1:8" x14ac:dyDescent="0.25">
      <c r="A7" s="2" t="s">
        <v>10</v>
      </c>
      <c r="B7" t="s">
        <v>20</v>
      </c>
      <c r="C7" s="8">
        <v>1</v>
      </c>
      <c r="D7" s="13"/>
      <c r="E7" s="13">
        <v>9500</v>
      </c>
      <c r="F7" s="13"/>
    </row>
    <row r="8" spans="1:8" x14ac:dyDescent="0.25">
      <c r="A8" s="2" t="s">
        <v>11</v>
      </c>
      <c r="B8" s="7" t="s">
        <v>34</v>
      </c>
      <c r="C8" s="8">
        <v>2</v>
      </c>
      <c r="D8" s="13">
        <v>100000</v>
      </c>
      <c r="E8" s="13">
        <f>D8*2</f>
        <v>200000</v>
      </c>
      <c r="F8" s="13"/>
    </row>
    <row r="9" spans="1:8" x14ac:dyDescent="0.25">
      <c r="A9" s="2" t="s">
        <v>12</v>
      </c>
      <c r="B9" s="7" t="s">
        <v>30</v>
      </c>
      <c r="C9" s="8">
        <v>1</v>
      </c>
      <c r="D9" s="13">
        <v>45500</v>
      </c>
      <c r="E9" s="13">
        <v>48000</v>
      </c>
      <c r="F9" s="13"/>
    </row>
    <row r="10" spans="1:8" x14ac:dyDescent="0.25">
      <c r="A10" s="2" t="s">
        <v>12</v>
      </c>
      <c r="B10" s="7" t="s">
        <v>31</v>
      </c>
      <c r="C10" s="8">
        <v>1</v>
      </c>
      <c r="D10" s="13">
        <v>9000</v>
      </c>
      <c r="E10" s="13">
        <v>9000</v>
      </c>
      <c r="F10" s="13"/>
    </row>
    <row r="11" spans="1:8" x14ac:dyDescent="0.25">
      <c r="A11" s="2" t="s">
        <v>19</v>
      </c>
      <c r="B11" s="7" t="s">
        <v>24</v>
      </c>
      <c r="C11" s="8">
        <v>1</v>
      </c>
      <c r="D11" s="13">
        <v>240000</v>
      </c>
      <c r="E11" s="13">
        <v>240000</v>
      </c>
      <c r="F11" s="13"/>
    </row>
    <row r="12" spans="1:8" x14ac:dyDescent="0.25">
      <c r="A12" s="2" t="s">
        <v>13</v>
      </c>
      <c r="B12" t="s">
        <v>26</v>
      </c>
      <c r="C12" s="8">
        <v>1</v>
      </c>
      <c r="D12" s="14">
        <v>8500</v>
      </c>
      <c r="E12" s="14">
        <v>9000</v>
      </c>
      <c r="F12" s="14"/>
    </row>
    <row r="13" spans="1:8" ht="16.149999999999999" customHeight="1" x14ac:dyDescent="0.25">
      <c r="A13" s="2"/>
      <c r="B13" s="9"/>
      <c r="C13" s="10" t="s">
        <v>18</v>
      </c>
      <c r="D13" s="15"/>
      <c r="E13" s="16">
        <f>SUM(E4:E12)</f>
        <v>609000</v>
      </c>
      <c r="F13" s="16"/>
    </row>
    <row r="14" spans="1:8" ht="18" customHeight="1" x14ac:dyDescent="0.25">
      <c r="A14" s="2"/>
      <c r="B14" s="2"/>
      <c r="C14" s="10"/>
      <c r="D14" s="16"/>
      <c r="E14" s="16">
        <f>E13*12%</f>
        <v>73080</v>
      </c>
      <c r="F14" s="16"/>
      <c r="G14" s="19"/>
    </row>
    <row r="15" spans="1:8" ht="14.25" customHeight="1" x14ac:dyDescent="0.25">
      <c r="A15" s="2"/>
      <c r="B15" s="2"/>
      <c r="C15" s="10" t="s">
        <v>28</v>
      </c>
      <c r="D15" s="17"/>
      <c r="E15" s="18">
        <f>SUM(E13:E14)</f>
        <v>682080</v>
      </c>
      <c r="F15" s="44"/>
    </row>
    <row r="16" spans="1:8" x14ac:dyDescent="0.25">
      <c r="A16" s="2"/>
      <c r="B16" s="2"/>
      <c r="C16" s="6" t="s">
        <v>14</v>
      </c>
      <c r="D16" s="17"/>
      <c r="E16" s="18">
        <f>E15*18%</f>
        <v>122774.39999999999</v>
      </c>
      <c r="F16" s="44"/>
    </row>
    <row r="17" spans="1:8" x14ac:dyDescent="0.25">
      <c r="C17" s="6" t="s">
        <v>15</v>
      </c>
      <c r="D17" s="3"/>
      <c r="E17" s="45">
        <f>SUM(E15:E16)</f>
        <v>804854.4</v>
      </c>
    </row>
    <row r="20" spans="1:8" x14ac:dyDescent="0.25">
      <c r="A20" s="1" t="s">
        <v>0</v>
      </c>
      <c r="B20" s="1"/>
      <c r="C20" s="2"/>
      <c r="D20" s="2"/>
      <c r="E20" s="2"/>
      <c r="F20" s="3"/>
    </row>
    <row r="21" spans="1:8" x14ac:dyDescent="0.25">
      <c r="A21" s="4" t="s">
        <v>1</v>
      </c>
      <c r="B21" s="2"/>
      <c r="C21" s="5" t="s">
        <v>2</v>
      </c>
      <c r="D21" s="47"/>
      <c r="E21" s="48"/>
      <c r="F21" s="3"/>
    </row>
    <row r="22" spans="1:8" x14ac:dyDescent="0.25">
      <c r="A22" s="6" t="s">
        <v>3</v>
      </c>
      <c r="B22" s="6" t="s">
        <v>4</v>
      </c>
      <c r="C22" s="6" t="s">
        <v>5</v>
      </c>
      <c r="D22" s="6" t="s">
        <v>17</v>
      </c>
      <c r="E22" s="6" t="s">
        <v>6</v>
      </c>
      <c r="F22" s="6" t="s">
        <v>16</v>
      </c>
    </row>
    <row r="23" spans="1:8" x14ac:dyDescent="0.25">
      <c r="A23" s="2" t="s">
        <v>7</v>
      </c>
      <c r="B23" s="12" t="s">
        <v>27</v>
      </c>
      <c r="C23" s="8">
        <v>1</v>
      </c>
      <c r="D23" s="13">
        <v>11500</v>
      </c>
      <c r="E23" s="13">
        <v>11500</v>
      </c>
      <c r="F23" s="13"/>
    </row>
    <row r="24" spans="1:8" ht="30" x14ac:dyDescent="0.25">
      <c r="A24" s="2" t="s">
        <v>8</v>
      </c>
      <c r="B24" s="11" t="s">
        <v>22</v>
      </c>
      <c r="C24" s="8">
        <v>1</v>
      </c>
      <c r="D24" s="13">
        <v>28000</v>
      </c>
      <c r="E24" s="13">
        <v>28000</v>
      </c>
      <c r="F24" s="13"/>
    </row>
    <row r="25" spans="1:8" ht="30" x14ac:dyDescent="0.25">
      <c r="A25" s="2" t="s">
        <v>9</v>
      </c>
      <c r="B25" s="7" t="s">
        <v>21</v>
      </c>
      <c r="C25" s="8">
        <v>1</v>
      </c>
      <c r="D25" s="13">
        <v>52000</v>
      </c>
      <c r="E25" s="13">
        <v>52000</v>
      </c>
      <c r="F25" s="13"/>
    </row>
    <row r="26" spans="1:8" x14ac:dyDescent="0.25">
      <c r="A26" s="2" t="s">
        <v>10</v>
      </c>
      <c r="B26" t="s">
        <v>20</v>
      </c>
      <c r="C26" s="8">
        <v>1</v>
      </c>
      <c r="D26" s="13">
        <v>9500</v>
      </c>
      <c r="E26" s="13">
        <v>9500</v>
      </c>
      <c r="F26" s="13"/>
    </row>
    <row r="27" spans="1:8" x14ac:dyDescent="0.25">
      <c r="A27" s="2" t="s">
        <v>11</v>
      </c>
      <c r="B27" s="7" t="s">
        <v>34</v>
      </c>
      <c r="C27" s="8">
        <v>2</v>
      </c>
      <c r="D27" s="13">
        <v>100000</v>
      </c>
      <c r="E27" s="13">
        <v>200000</v>
      </c>
      <c r="F27" s="13"/>
    </row>
    <row r="28" spans="1:8" x14ac:dyDescent="0.25">
      <c r="A28" s="2" t="s">
        <v>12</v>
      </c>
      <c r="B28" s="7" t="s">
        <v>29</v>
      </c>
      <c r="C28" s="8">
        <v>1</v>
      </c>
      <c r="D28" s="13">
        <v>44000</v>
      </c>
      <c r="E28" s="13">
        <v>48000</v>
      </c>
      <c r="F28" s="13"/>
    </row>
    <row r="29" spans="1:8" x14ac:dyDescent="0.25">
      <c r="A29" s="2" t="s">
        <v>12</v>
      </c>
      <c r="B29" s="7" t="s">
        <v>23</v>
      </c>
      <c r="C29" s="8">
        <v>1</v>
      </c>
      <c r="D29" s="13">
        <v>9000</v>
      </c>
      <c r="E29" s="13">
        <v>9000</v>
      </c>
      <c r="F29" s="13"/>
    </row>
    <row r="30" spans="1:8" x14ac:dyDescent="0.25">
      <c r="A30" s="2" t="s">
        <v>19</v>
      </c>
      <c r="B30" s="7" t="s">
        <v>25</v>
      </c>
      <c r="C30" s="8">
        <v>1</v>
      </c>
      <c r="D30" s="13">
        <v>285000</v>
      </c>
      <c r="E30" s="13">
        <v>352000</v>
      </c>
      <c r="F30" s="13"/>
    </row>
    <row r="31" spans="1:8" x14ac:dyDescent="0.25">
      <c r="A31" s="2" t="s">
        <v>13</v>
      </c>
      <c r="B31" t="s">
        <v>32</v>
      </c>
      <c r="C31" s="8">
        <v>1</v>
      </c>
      <c r="D31" s="14">
        <v>8500</v>
      </c>
      <c r="E31" s="14">
        <v>9000</v>
      </c>
      <c r="F31" s="14"/>
    </row>
    <row r="32" spans="1:8" x14ac:dyDescent="0.25">
      <c r="A32" s="2"/>
      <c r="B32" s="9"/>
      <c r="C32" s="10" t="s">
        <v>18</v>
      </c>
      <c r="D32" s="15"/>
      <c r="E32" s="16">
        <f>SUM(E23:E31)</f>
        <v>719000</v>
      </c>
      <c r="F32" s="16"/>
      <c r="H32" s="19"/>
    </row>
    <row r="33" spans="1:7" x14ac:dyDescent="0.25">
      <c r="A33" s="2"/>
      <c r="B33" s="2"/>
      <c r="C33" s="46"/>
      <c r="D33" s="16"/>
      <c r="E33" s="16">
        <f>E32*12%</f>
        <v>86280</v>
      </c>
      <c r="F33" s="16"/>
    </row>
    <row r="34" spans="1:7" x14ac:dyDescent="0.25">
      <c r="A34" s="2"/>
      <c r="B34" s="2"/>
      <c r="C34" s="10" t="s">
        <v>28</v>
      </c>
      <c r="D34" s="17"/>
      <c r="E34" s="18">
        <f>SUM(E32:E33)</f>
        <v>805280</v>
      </c>
      <c r="F34" s="44"/>
    </row>
    <row r="35" spans="1:7" x14ac:dyDescent="0.25">
      <c r="A35" s="2"/>
      <c r="B35" s="2"/>
      <c r="C35" s="6" t="s">
        <v>14</v>
      </c>
      <c r="D35" s="17"/>
      <c r="E35" s="18">
        <f>E34*18%</f>
        <v>144950.39999999999</v>
      </c>
      <c r="F35" s="44"/>
    </row>
    <row r="36" spans="1:7" x14ac:dyDescent="0.25">
      <c r="C36" s="6" t="s">
        <v>15</v>
      </c>
      <c r="D36" s="3"/>
      <c r="E36" s="45">
        <f>SUM(E34:E35)</f>
        <v>950230.4</v>
      </c>
      <c r="F36" t="s">
        <v>33</v>
      </c>
    </row>
    <row r="38" spans="1:7" x14ac:dyDescent="0.25">
      <c r="A38" s="21" t="s">
        <v>3</v>
      </c>
      <c r="B38" s="21" t="s">
        <v>4</v>
      </c>
      <c r="C38" s="21" t="s">
        <v>5</v>
      </c>
      <c r="D38" s="21" t="s">
        <v>17</v>
      </c>
      <c r="E38" s="21" t="s">
        <v>6</v>
      </c>
      <c r="F38" s="21" t="s">
        <v>35</v>
      </c>
    </row>
    <row r="39" spans="1:7" ht="15.75" x14ac:dyDescent="0.25">
      <c r="A39" s="22" t="s">
        <v>7</v>
      </c>
      <c r="B39" s="23" t="s">
        <v>47</v>
      </c>
      <c r="C39" s="24">
        <v>1</v>
      </c>
      <c r="D39" s="25">
        <v>150000</v>
      </c>
      <c r="E39" s="26">
        <v>500000</v>
      </c>
      <c r="F39" s="27"/>
    </row>
    <row r="40" spans="1:7" ht="15.75" x14ac:dyDescent="0.25">
      <c r="A40" s="22" t="s">
        <v>8</v>
      </c>
      <c r="B40" s="28" t="s">
        <v>36</v>
      </c>
      <c r="C40" s="24">
        <v>1</v>
      </c>
      <c r="D40" s="25">
        <v>110000</v>
      </c>
      <c r="E40" s="26">
        <v>110000</v>
      </c>
      <c r="F40" s="27"/>
    </row>
    <row r="41" spans="1:7" ht="31.5" x14ac:dyDescent="0.25">
      <c r="A41" s="22" t="s">
        <v>9</v>
      </c>
      <c r="B41" s="29" t="s">
        <v>37</v>
      </c>
      <c r="C41" s="24">
        <v>1</v>
      </c>
      <c r="D41" s="25">
        <v>190000</v>
      </c>
      <c r="E41" s="30">
        <v>190000</v>
      </c>
      <c r="F41" s="27"/>
    </row>
    <row r="42" spans="1:7" ht="15.75" x14ac:dyDescent="0.25">
      <c r="A42" s="22" t="s">
        <v>10</v>
      </c>
      <c r="B42" s="31" t="s">
        <v>38</v>
      </c>
      <c r="C42" s="24">
        <v>1</v>
      </c>
      <c r="D42" s="25">
        <v>7500</v>
      </c>
      <c r="E42" s="30">
        <v>7500</v>
      </c>
      <c r="F42" s="27"/>
      <c r="G42">
        <v>280</v>
      </c>
    </row>
    <row r="43" spans="1:7" ht="15.75" x14ac:dyDescent="0.25">
      <c r="A43" s="22" t="s">
        <v>11</v>
      </c>
      <c r="B43" s="32" t="s">
        <v>39</v>
      </c>
      <c r="C43" s="24">
        <v>8</v>
      </c>
      <c r="D43" s="25">
        <v>225000</v>
      </c>
      <c r="E43" s="30">
        <f>D43*8</f>
        <v>1800000</v>
      </c>
      <c r="F43" s="27"/>
      <c r="G43">
        <v>500</v>
      </c>
    </row>
    <row r="44" spans="1:7" ht="15.75" x14ac:dyDescent="0.25">
      <c r="A44" s="22" t="s">
        <v>12</v>
      </c>
      <c r="B44" s="29" t="s">
        <v>40</v>
      </c>
      <c r="C44" s="24">
        <v>2</v>
      </c>
      <c r="D44" s="25">
        <v>300000</v>
      </c>
      <c r="E44" s="30">
        <f>D44*2</f>
        <v>600000</v>
      </c>
      <c r="F44" s="27"/>
      <c r="G44">
        <v>1400</v>
      </c>
    </row>
    <row r="45" spans="1:7" ht="15.75" x14ac:dyDescent="0.25">
      <c r="A45" s="22" t="s">
        <v>44</v>
      </c>
      <c r="B45" s="29" t="s">
        <v>45</v>
      </c>
      <c r="C45" s="24">
        <v>1</v>
      </c>
      <c r="D45" s="25">
        <v>200000</v>
      </c>
      <c r="E45" s="30">
        <v>207500</v>
      </c>
      <c r="F45" s="27"/>
    </row>
    <row r="46" spans="1:7" ht="15.75" x14ac:dyDescent="0.25">
      <c r="A46" s="22" t="s">
        <v>41</v>
      </c>
      <c r="B46" s="29" t="s">
        <v>42</v>
      </c>
      <c r="C46" s="24">
        <v>4</v>
      </c>
      <c r="D46" s="25">
        <v>920000</v>
      </c>
      <c r="E46" s="30">
        <f>D46*4</f>
        <v>3680000</v>
      </c>
      <c r="F46" s="27"/>
    </row>
    <row r="47" spans="1:7" ht="15.75" x14ac:dyDescent="0.25">
      <c r="A47" s="22" t="s">
        <v>13</v>
      </c>
      <c r="B47" s="29" t="s">
        <v>46</v>
      </c>
      <c r="C47" s="24">
        <v>1</v>
      </c>
      <c r="D47" s="25">
        <v>45000</v>
      </c>
      <c r="E47" s="33">
        <v>45000</v>
      </c>
      <c r="F47" s="27"/>
    </row>
    <row r="48" spans="1:7" ht="30" x14ac:dyDescent="0.25">
      <c r="A48" s="22"/>
      <c r="B48" s="49" t="s">
        <v>48</v>
      </c>
      <c r="C48" s="35" t="s">
        <v>18</v>
      </c>
      <c r="D48" s="36"/>
      <c r="E48" s="37">
        <f>SUM(E39:E47)</f>
        <v>7140000</v>
      </c>
      <c r="F48" s="27"/>
    </row>
    <row r="49" spans="1:6" ht="15.75" x14ac:dyDescent="0.25">
      <c r="A49" s="22"/>
      <c r="B49" s="34"/>
      <c r="C49" s="38">
        <v>0.15</v>
      </c>
      <c r="D49" s="36"/>
      <c r="E49" s="39">
        <f>E48*15%</f>
        <v>1071000</v>
      </c>
      <c r="F49" s="27"/>
    </row>
    <row r="50" spans="1:6" ht="15.75" x14ac:dyDescent="0.25">
      <c r="A50" s="22"/>
      <c r="B50" s="22"/>
      <c r="C50" s="35" t="s">
        <v>43</v>
      </c>
      <c r="D50" s="40"/>
      <c r="E50" s="37">
        <f>SUM(E48:E49)</f>
        <v>8211000</v>
      </c>
      <c r="F50" s="27"/>
    </row>
    <row r="51" spans="1:6" ht="15.75" x14ac:dyDescent="0.25">
      <c r="A51" s="22"/>
      <c r="B51" s="22"/>
      <c r="C51" s="41" t="s">
        <v>14</v>
      </c>
      <c r="D51" s="42"/>
      <c r="E51" s="43">
        <f>E50*18%</f>
        <v>1477980</v>
      </c>
      <c r="F51" s="27"/>
    </row>
    <row r="52" spans="1:6" ht="15.75" x14ac:dyDescent="0.25">
      <c r="A52" s="22"/>
      <c r="B52" s="22"/>
      <c r="C52" s="41" t="s">
        <v>15</v>
      </c>
      <c r="D52" s="42"/>
      <c r="E52" s="43">
        <f>SUM(E50:E51)</f>
        <v>9688980</v>
      </c>
      <c r="F52" s="27"/>
    </row>
  </sheetData>
  <mergeCells count="2">
    <mergeCell ref="D2:E2"/>
    <mergeCell ref="D21:E21"/>
  </mergeCells>
  <hyperlinks>
    <hyperlink ref="B48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2026-09-21T04:50:38Z</dcterms:modified>
</cp:coreProperties>
</file>