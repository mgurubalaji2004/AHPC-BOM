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3250" windowHeight="131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1" l="1"/>
  <c r="F16" i="1"/>
  <c r="E14" i="1"/>
  <c r="F14" i="1" s="1"/>
  <c r="F15" i="1" l="1"/>
  <c r="F17" i="1" l="1"/>
  <c r="F18" i="1"/>
  <c r="E17" i="1" l="1"/>
  <c r="E18" i="1" s="1"/>
</calcChain>
</file>

<file path=xl/sharedStrings.xml><?xml version="1.0" encoding="utf-8"?>
<sst xmlns="http://schemas.openxmlformats.org/spreadsheetml/2006/main" count="32" uniqueCount="32">
  <si>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</si>
  <si>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</si>
  <si>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</si>
  <si>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</si>
  <si>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</si>
  <si>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</si>
  <si>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</si>
  <si>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</si>
  <si>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</si>
  <si>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</si>
  <si>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</si>
  <si>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</si>
  <si>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</si>
  <si>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</si>
  <si>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</si>
  <si>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</si>
  <si>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>Unit Prize</t>
  </si>
  <si>
    <t>Sub Total</t>
  </si>
  <si>
    <t>Margin-15%</t>
  </si>
  <si>
    <t>From</t>
  </si>
  <si>
    <t>GPU</t>
  </si>
  <si>
    <t>Intel® Core™ i5 processor 14400 (10-Cores, Base Freq 2.5GHz, Max Freq 4.7GHz, Cache 20MB)</t>
  </si>
  <si>
    <t>Air Cooler</t>
  </si>
  <si>
    <t>16GB DDR4 3200mhz</t>
  </si>
  <si>
    <t>B760m DS3H DDR4</t>
  </si>
  <si>
    <t>GeForce RTX 3050 6gb</t>
  </si>
  <si>
    <t xml:space="preserve">Windows 11 Pro </t>
  </si>
  <si>
    <t>OS</t>
  </si>
  <si>
    <t>ATX Cabinet</t>
  </si>
  <si>
    <t>Wired Keyboard and Mouse</t>
  </si>
  <si>
    <t>650W ATX PSU</t>
  </si>
  <si>
    <t>500GB SATA SSD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</si>
</sst>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4" fontId="2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vertical="center" readingOrder="1"/>
    </xf>
    <xf numFmtId="0" fontId="4" fillId="0" borderId="1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horizontal="right" readingOrder="1"/>
    </xf>
    <xf numFmtId="0" fontId="4" fillId="0" borderId="0" xfId="0" applyFont="1"/>
    <xf numFmtId="0" fontId="4" fillId="0" borderId="1" xfId="0" applyFont="1" applyBorder="1" applyAlignment="1">
      <alignment vertical="top"/>
    </xf>
    <xf numFmtId="3" fontId="4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4" fontId="4" fillId="0" borderId="1" xfId="0" applyNumberFormat="1" applyFont="1" applyBorder="1" applyAlignment="1">
      <alignment horizontal="center" wrapText="1"/>
    </xf>
    <xf numFmtId="4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vertical="top" wrapText="1"/>
    </xf>
    <xf numFmtId="4" fontId="4" fillId="5" borderId="1" xfId="0" applyNumberFormat="1" applyFont="1" applyFill="1" applyBorder="1" applyAlignment="1">
      <alignment horizontal="center" vertical="top" wrapText="1"/>
    </xf>
    <xf numFmtId="9" fontId="4" fillId="4" borderId="1" xfId="0" applyNumberFormat="1" applyFont="1" applyFill="1" applyBorder="1" applyAlignment="1">
      <alignment wrapText="1"/>
    </xf>
    <xf numFmtId="0" fontId="0" fillId="0" borderId="0" xfId="0" applyBorder="1"/>
    <xf numFmtId="14" fontId="0" fillId="0" borderId="2" xfId="0" applyNumberFormat="1" applyFont="1" applyBorder="1" applyAlignment="1">
      <alignment horizontal="center" wrapText="1"/>
    </xf>
    <xf numFmtId="14" fontId="0" fillId="0" borderId="3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zoomScale="115" zoomScaleNormal="115" workbookViewId="0">
      <selection activeCell="C9" sqref="C9"/>
    </sheetView>
  </sheetViews>
  <sheetFormatPr defaultRowHeight="15" x14ac:dyDescent="0.25"/>
  <cols>
    <col min="1" max="1" width="15.28515625" customWidth="1"/>
    <col min="2" max="2" width="49.28515625" customWidth="1"/>
    <col min="3" max="3" width="14.140625" customWidth="1"/>
    <col min="4" max="4" width="15.5703125" customWidth="1"/>
    <col min="5" max="5" width="16.7109375" customWidth="1"/>
    <col min="6" max="6" width="15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/>
      <c r="C2" s="5" t="s">
        <v>2</v>
      </c>
      <c r="D2" s="29"/>
      <c r="E2" s="30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16</v>
      </c>
      <c r="E3" s="6" t="s">
        <v>6</v>
      </c>
      <c r="F3" s="6" t="s">
        <v>19</v>
      </c>
    </row>
    <row r="4" spans="1:6" ht="15.75" x14ac:dyDescent="0.25">
      <c r="A4" s="9" t="s">
        <v>7</v>
      </c>
      <c r="B4" s="10" t="s">
        <v>28</v>
      </c>
      <c r="C4" s="11">
        <v>1</v>
      </c>
      <c r="D4" s="12">
        <v>5000</v>
      </c>
      <c r="E4" s="13">
        <v>5000</v>
      </c>
      <c r="F4" s="14"/>
    </row>
    <row r="5" spans="1:6" ht="15.75" x14ac:dyDescent="0.25">
      <c r="A5" s="9" t="s">
        <v>8</v>
      </c>
      <c r="B5" s="15" t="s">
        <v>24</v>
      </c>
      <c r="C5" s="11">
        <v>1</v>
      </c>
      <c r="D5" s="12">
        <v>12100</v>
      </c>
      <c r="E5" s="13">
        <v>12100</v>
      </c>
      <c r="F5" s="14"/>
    </row>
    <row r="6" spans="1:6" ht="31.5" x14ac:dyDescent="0.25">
      <c r="A6" s="9" t="s">
        <v>9</v>
      </c>
      <c r="B6" s="16" t="s">
        <v>21</v>
      </c>
      <c r="C6" s="11">
        <v>1</v>
      </c>
      <c r="D6" s="12">
        <v>15500</v>
      </c>
      <c r="E6" s="17">
        <v>17500</v>
      </c>
      <c r="F6" s="14"/>
    </row>
    <row r="7" spans="1:6" ht="15.75" x14ac:dyDescent="0.25">
      <c r="A7" s="9" t="s">
        <v>10</v>
      </c>
      <c r="B7" s="18" t="s">
        <v>22</v>
      </c>
      <c r="C7" s="11">
        <v>1</v>
      </c>
      <c r="D7" s="12">
        <v>5500</v>
      </c>
      <c r="E7" s="17">
        <v>5500</v>
      </c>
      <c r="F7" s="14"/>
    </row>
    <row r="8" spans="1:6" ht="15.75" x14ac:dyDescent="0.25">
      <c r="A8" s="9" t="s">
        <v>11</v>
      </c>
      <c r="B8" s="19" t="s">
        <v>23</v>
      </c>
      <c r="C8" s="11">
        <v>1</v>
      </c>
      <c r="D8" s="12">
        <v>9800</v>
      </c>
      <c r="E8" s="17">
        <v>9800</v>
      </c>
      <c r="F8" s="14"/>
    </row>
    <row r="9" spans="1:6" ht="15.75" x14ac:dyDescent="0.25">
      <c r="A9" s="9" t="s">
        <v>12</v>
      </c>
      <c r="B9" s="16" t="s">
        <v>31</v>
      </c>
      <c r="C9" s="11">
        <v>1</v>
      </c>
      <c r="D9" s="12">
        <v>5000</v>
      </c>
      <c r="E9" s="17">
        <v>5000</v>
      </c>
      <c r="F9" s="14"/>
    </row>
    <row r="10" spans="1:6" ht="15.75" x14ac:dyDescent="0.25">
      <c r="A10" s="9" t="s">
        <v>20</v>
      </c>
      <c r="B10" s="16" t="s">
        <v>25</v>
      </c>
      <c r="C10" s="11">
        <v>1</v>
      </c>
      <c r="D10" s="12">
        <v>25500</v>
      </c>
      <c r="E10" s="17">
        <v>25500</v>
      </c>
      <c r="F10" s="14"/>
    </row>
    <row r="11" spans="1:6" ht="15.75" x14ac:dyDescent="0.25">
      <c r="A11" s="9" t="s">
        <v>27</v>
      </c>
      <c r="B11" s="16" t="s">
        <v>26</v>
      </c>
      <c r="C11" s="11">
        <v>1</v>
      </c>
      <c r="D11" s="12">
        <v>8500</v>
      </c>
      <c r="E11" s="17">
        <v>8500</v>
      </c>
      <c r="F11" s="14"/>
    </row>
    <row r="12" spans="1:6" ht="15.75" x14ac:dyDescent="0.25">
      <c r="A12" s="9" t="s">
        <v>13</v>
      </c>
      <c r="B12" s="16" t="s">
        <v>30</v>
      </c>
      <c r="C12" s="11">
        <v>1</v>
      </c>
      <c r="D12" s="12">
        <v>4000</v>
      </c>
      <c r="E12" s="20">
        <v>7500</v>
      </c>
      <c r="F12" s="14"/>
    </row>
    <row r="13" spans="1:6" ht="15.75" x14ac:dyDescent="0.25">
      <c r="A13" s="9"/>
      <c r="B13" s="16" t="s">
        <v>29</v>
      </c>
      <c r="C13" s="11">
        <v>1</v>
      </c>
      <c r="D13" s="12">
        <v>610</v>
      </c>
      <c r="E13" s="20">
        <v>800</v>
      </c>
      <c r="F13" s="14"/>
    </row>
    <row r="14" spans="1:6" ht="16.149999999999999" customHeight="1" x14ac:dyDescent="0.25">
      <c r="A14" s="9"/>
      <c r="B14" s="21"/>
      <c r="C14" s="22" t="s">
        <v>17</v>
      </c>
      <c r="D14" s="23"/>
      <c r="E14" s="8">
        <f>SUM(E4:E13)</f>
        <v>97200</v>
      </c>
      <c r="F14" s="8">
        <f>E14*2</f>
        <v>194400</v>
      </c>
    </row>
    <row r="15" spans="1:6" ht="16.149999999999999" customHeight="1" x14ac:dyDescent="0.25">
      <c r="A15" s="9"/>
      <c r="B15" s="21"/>
      <c r="C15" s="27">
        <v>0.15</v>
      </c>
      <c r="D15" s="23"/>
      <c r="E15" s="8">
        <f>E14*18%</f>
        <v>17496</v>
      </c>
      <c r="F15" s="8">
        <f>F14*14%</f>
        <v>27216.000000000004</v>
      </c>
    </row>
    <row r="16" spans="1:6" ht="18" customHeight="1" x14ac:dyDescent="0.25">
      <c r="A16" s="9"/>
      <c r="B16" s="9"/>
      <c r="C16" s="22" t="s">
        <v>18</v>
      </c>
      <c r="D16" s="24"/>
      <c r="E16" s="8">
        <v>120000</v>
      </c>
      <c r="F16" s="8">
        <f>E16*2</f>
        <v>240000</v>
      </c>
    </row>
    <row r="17" spans="1:6" ht="15.75" x14ac:dyDescent="0.25">
      <c r="A17" s="9"/>
      <c r="B17" s="9"/>
      <c r="C17" s="25" t="s">
        <v>14</v>
      </c>
      <c r="D17" s="26"/>
      <c r="E17" s="7">
        <f>E16*18%</f>
        <v>21600</v>
      </c>
      <c r="F17" s="7">
        <f>F16*18%</f>
        <v>43200</v>
      </c>
    </row>
    <row r="18" spans="1:6" ht="15.75" x14ac:dyDescent="0.25">
      <c r="A18" s="9"/>
      <c r="B18" s="9"/>
      <c r="C18" s="25" t="s">
        <v>15</v>
      </c>
      <c r="D18" s="26"/>
      <c r="E18" s="7">
        <f>SUM(E16:E17)</f>
        <v>141600</v>
      </c>
      <c r="F18" s="7">
        <f>SUM(F16:F17)</f>
        <v>283200</v>
      </c>
    </row>
    <row r="21" spans="1:6" x14ac:dyDescent="0.25">
      <c r="E21" s="28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2026-10-02T14:03:18Z</dcterms:modified>
</cp:coreProperties>
</file>