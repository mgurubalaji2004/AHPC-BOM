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580" windowHeight="98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37" i="1" l="1"/>
  <c r="E52" i="1" l="1"/>
  <c r="E33" i="1"/>
  <c r="E53" i="1" l="1"/>
  <c r="E54" i="1" s="1"/>
  <c r="E55" i="1" s="1"/>
  <c r="E56" i="1"/>
  <c r="E34" i="1"/>
  <c r="E15" i="1"/>
  <c r="E35" i="1" l="1"/>
  <c r="E36" i="1" s="1"/>
  <c r="E16" i="1"/>
  <c r="E19" i="1" s="1"/>
  <c r="E17" i="1" l="1"/>
  <c r="E18" i="1" s="1"/>
</calcChain>
</file>

<file path=xl/sharedStrings.xml><?xml version="1.0" encoding="utf-8"?>
<sst xmlns="http://schemas.openxmlformats.org/spreadsheetml/2006/main" count="97" uniqueCount="37">
  <si>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</si>
  <si>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</si>
  <si>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</si>
  <si>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</si>
  <si>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</si>
  <si>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</si>
  <si>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</si>
  <si>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</si>
  <si>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</si>
  <si>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</si>
  <si>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</si>
  <si>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</si>
  <si>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</si>
  <si>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</si>
  <si>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</si>
  <si>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</si>
  <si>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</si>
  <si>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</si>
  <si>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Margin-15%</t>
  </si>
  <si>
    <t>From</t>
  </si>
  <si>
    <t xml:space="preserve">960GB SATA SSD </t>
  </si>
  <si>
    <t>HDD</t>
  </si>
  <si>
    <t>22TB SATA HDD</t>
  </si>
  <si>
    <t>9460-16i</t>
  </si>
  <si>
    <t xml:space="preserve">Raid Controller </t>
  </si>
  <si>
    <t>4U 24-Bay Rack Mountable Chassis  AIC RSC-4ET</t>
  </si>
  <si>
    <t>1200W RPS</t>
  </si>
  <si>
    <t xml:space="preserve">GPU </t>
  </si>
  <si>
    <t>Intel® Xeon® Gold 5318N Processor (24-Cores, Base Freq 2.10GHz, Max Freq 3.40GHz, Cache 36MB)</t>
  </si>
  <si>
    <t>Dynatron N11</t>
  </si>
  <si>
    <t>64GB DDR4 2667MHz</t>
  </si>
  <si>
    <t>MD72-HB2 Intel® C621A Chipset 2 x 10Gb/s LAN ports 2 x 1Gb/s LAN ports 6 x PCIe Gen4 x16 expansion slots 2 x USB 3.2 Gen1 ports (Type-A), 1 x VGA port, 4 x RJ45 ports, 1 x MLAN port</t>
  </si>
  <si>
    <t>NVIDIA RTX Pro 2000 Blackwell  16GB GDDR7</t>
  </si>
  <si>
    <t>OS</t>
  </si>
  <si>
    <t>Windows Server 2025</t>
  </si>
  <si>
    <t>Intel® Xeon® Gold 6338N Processor (32-Cores, Base Freq 2.20GHz, Max Freq 3.50GHz, Cache 48MB)</t>
  </si>
  <si>
    <t>24TB SATA HDD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</si>
</sst>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abSelected="1" topLeftCell="A7" zoomScale="115" zoomScaleNormal="115" workbookViewId="0">
      <selection activeCell="B7" sqref="B7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1"/>
      <c r="E2" s="32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19</v>
      </c>
    </row>
    <row r="4" spans="1:6" ht="15.75" x14ac:dyDescent="0.25">
      <c r="A4" s="9" t="s">
        <v>7</v>
      </c>
      <c r="B4" s="10" t="s">
        <v>25</v>
      </c>
      <c r="C4" s="11">
        <v>1</v>
      </c>
      <c r="D4" s="12">
        <v>130000</v>
      </c>
      <c r="E4" s="13">
        <v>130000</v>
      </c>
      <c r="F4" s="14"/>
    </row>
    <row r="5" spans="1:6" ht="63" x14ac:dyDescent="0.25">
      <c r="A5" s="9" t="s">
        <v>8</v>
      </c>
      <c r="B5" s="15" t="s">
        <v>31</v>
      </c>
      <c r="C5" s="11">
        <v>1</v>
      </c>
      <c r="D5" s="12">
        <v>100000</v>
      </c>
      <c r="E5" s="13">
        <v>80000</v>
      </c>
      <c r="F5" s="14"/>
    </row>
    <row r="6" spans="1:6" ht="34.5" customHeight="1" x14ac:dyDescent="0.25">
      <c r="A6" s="9" t="s">
        <v>9</v>
      </c>
      <c r="B6" s="16" t="s">
        <v>28</v>
      </c>
      <c r="C6" s="11">
        <v>2</v>
      </c>
      <c r="D6" s="12">
        <v>95000</v>
      </c>
      <c r="E6" s="17">
        <v>190000</v>
      </c>
      <c r="F6" s="14"/>
    </row>
    <row r="7" spans="1:6" ht="15.75" x14ac:dyDescent="0.25">
      <c r="A7" s="9" t="s">
        <v>10</v>
      </c>
      <c r="B7" s="18" t="s">
        <v>29</v>
      </c>
      <c r="C7" s="11">
        <v>2</v>
      </c>
      <c r="D7" s="12">
        <v>7500</v>
      </c>
      <c r="E7" s="17">
        <v>15000</v>
      </c>
      <c r="F7" s="14"/>
    </row>
    <row r="8" spans="1:6" ht="15.75" x14ac:dyDescent="0.25">
      <c r="A8" s="9" t="s">
        <v>11</v>
      </c>
      <c r="B8" s="19" t="s">
        <v>30</v>
      </c>
      <c r="C8" s="11">
        <v>2</v>
      </c>
      <c r="D8" s="12">
        <v>100000</v>
      </c>
      <c r="E8" s="17">
        <v>220000</v>
      </c>
      <c r="F8" s="14"/>
    </row>
    <row r="9" spans="1:6" ht="15.75" x14ac:dyDescent="0.25">
      <c r="A9" s="9" t="s">
        <v>12</v>
      </c>
      <c r="B9" s="16" t="s">
        <v>20</v>
      </c>
      <c r="C9" s="11">
        <v>2</v>
      </c>
      <c r="D9" s="12">
        <v>48000</v>
      </c>
      <c r="E9" s="17">
        <v>100000</v>
      </c>
      <c r="F9" s="14"/>
    </row>
    <row r="10" spans="1:6" ht="15.75" x14ac:dyDescent="0.25">
      <c r="A10" s="9" t="s">
        <v>21</v>
      </c>
      <c r="B10" s="16" t="s">
        <v>36</v>
      </c>
      <c r="C10" s="11">
        <v>10</v>
      </c>
      <c r="D10" s="12">
        <v>95000</v>
      </c>
      <c r="E10" s="17">
        <f>D10*10</f>
        <v>950000</v>
      </c>
      <c r="F10" s="14"/>
    </row>
    <row r="11" spans="1:6" ht="15.75" x14ac:dyDescent="0.25">
      <c r="A11" s="9" t="s">
        <v>24</v>
      </c>
      <c r="B11" s="16" t="s">
        <v>23</v>
      </c>
      <c r="C11" s="11">
        <v>1</v>
      </c>
      <c r="D11" s="12">
        <v>67500</v>
      </c>
      <c r="E11" s="17">
        <v>80000</v>
      </c>
      <c r="F11" s="14"/>
    </row>
    <row r="12" spans="1:6" ht="15.75" x14ac:dyDescent="0.25">
      <c r="A12" s="9" t="s">
        <v>27</v>
      </c>
      <c r="B12" s="16" t="s">
        <v>32</v>
      </c>
      <c r="C12" s="11">
        <v>1</v>
      </c>
      <c r="D12" s="12">
        <v>70000</v>
      </c>
      <c r="E12" s="17">
        <v>125000</v>
      </c>
      <c r="F12" s="14"/>
    </row>
    <row r="13" spans="1:6" ht="15.75" x14ac:dyDescent="0.25">
      <c r="A13" s="9" t="s">
        <v>13</v>
      </c>
      <c r="B13" s="16" t="s">
        <v>26</v>
      </c>
      <c r="C13" s="11">
        <v>1</v>
      </c>
      <c r="D13" s="12">
        <v>0</v>
      </c>
      <c r="E13" s="20">
        <v>0</v>
      </c>
      <c r="F13" s="14"/>
    </row>
    <row r="14" spans="1:6" ht="15.75" x14ac:dyDescent="0.25">
      <c r="A14" s="9"/>
      <c r="B14" s="9"/>
      <c r="C14" s="11"/>
      <c r="D14" s="21"/>
      <c r="E14" s="22"/>
      <c r="F14" s="14"/>
    </row>
    <row r="15" spans="1:6" ht="16.149999999999999" customHeight="1" x14ac:dyDescent="0.25">
      <c r="A15" s="9"/>
      <c r="B15" s="23"/>
      <c r="C15" s="24" t="s">
        <v>17</v>
      </c>
      <c r="D15" s="25"/>
      <c r="E15" s="8">
        <f>SUM(E4:E14)</f>
        <v>1890000</v>
      </c>
      <c r="F15" s="14"/>
    </row>
    <row r="16" spans="1:6" ht="16.149999999999999" customHeight="1" x14ac:dyDescent="0.25">
      <c r="A16" s="9"/>
      <c r="B16" s="23"/>
      <c r="C16" s="30">
        <v>0.15</v>
      </c>
      <c r="D16" s="25"/>
      <c r="E16" s="26">
        <f>E15*15%</f>
        <v>283500</v>
      </c>
      <c r="F16" s="14"/>
    </row>
    <row r="17" spans="1:6" ht="18" customHeight="1" x14ac:dyDescent="0.25">
      <c r="A17" s="9"/>
      <c r="B17" s="9"/>
      <c r="C17" s="24" t="s">
        <v>18</v>
      </c>
      <c r="D17" s="27"/>
      <c r="E17" s="8">
        <f>SUM(E15:E16)</f>
        <v>2173500</v>
      </c>
      <c r="F17" s="14"/>
    </row>
    <row r="18" spans="1:6" ht="15.75" x14ac:dyDescent="0.25">
      <c r="A18" s="9"/>
      <c r="B18" s="9"/>
      <c r="C18" s="28" t="s">
        <v>14</v>
      </c>
      <c r="D18" s="29"/>
      <c r="E18" s="7">
        <f>E17*18%</f>
        <v>391230</v>
      </c>
      <c r="F18" s="14"/>
    </row>
    <row r="19" spans="1:6" ht="15.75" x14ac:dyDescent="0.25">
      <c r="A19" s="9"/>
      <c r="B19" s="9"/>
      <c r="C19" s="28" t="s">
        <v>15</v>
      </c>
      <c r="D19" s="29"/>
      <c r="E19" s="7">
        <f>SUM(E15:E16)</f>
        <v>2173500</v>
      </c>
      <c r="F19" s="14"/>
    </row>
    <row r="21" spans="1:6" x14ac:dyDescent="0.25">
      <c r="A21" s="6" t="s">
        <v>3</v>
      </c>
      <c r="B21" s="6" t="s">
        <v>4</v>
      </c>
      <c r="C21" s="6" t="s">
        <v>5</v>
      </c>
      <c r="D21" s="6" t="s">
        <v>16</v>
      </c>
      <c r="E21" s="6" t="s">
        <v>6</v>
      </c>
      <c r="F21" s="6" t="s">
        <v>19</v>
      </c>
    </row>
    <row r="22" spans="1:6" ht="15.75" x14ac:dyDescent="0.25">
      <c r="A22" s="9" t="s">
        <v>7</v>
      </c>
      <c r="B22" s="10" t="s">
        <v>25</v>
      </c>
      <c r="C22" s="11">
        <v>1</v>
      </c>
      <c r="D22" s="12">
        <v>130000</v>
      </c>
      <c r="E22" s="13">
        <v>130000</v>
      </c>
      <c r="F22" s="14"/>
    </row>
    <row r="23" spans="1:6" ht="63" x14ac:dyDescent="0.25">
      <c r="A23" s="9" t="s">
        <v>8</v>
      </c>
      <c r="B23" s="15" t="s">
        <v>31</v>
      </c>
      <c r="C23" s="11">
        <v>1</v>
      </c>
      <c r="D23" s="12">
        <v>100000</v>
      </c>
      <c r="E23" s="13">
        <v>100000</v>
      </c>
      <c r="F23" s="14"/>
    </row>
    <row r="24" spans="1:6" ht="33.75" customHeight="1" x14ac:dyDescent="0.25">
      <c r="A24" s="9" t="s">
        <v>9</v>
      </c>
      <c r="B24" s="16" t="s">
        <v>28</v>
      </c>
      <c r="C24" s="11">
        <v>2</v>
      </c>
      <c r="D24" s="12"/>
      <c r="E24" s="17">
        <v>190000</v>
      </c>
      <c r="F24" s="14"/>
    </row>
    <row r="25" spans="1:6" ht="15.75" x14ac:dyDescent="0.25">
      <c r="A25" s="9" t="s">
        <v>10</v>
      </c>
      <c r="B25" s="18" t="s">
        <v>29</v>
      </c>
      <c r="C25" s="11">
        <v>2</v>
      </c>
      <c r="D25" s="12">
        <v>7500</v>
      </c>
      <c r="E25" s="17">
        <v>15000</v>
      </c>
      <c r="F25" s="14"/>
    </row>
    <row r="26" spans="1:6" ht="15.75" x14ac:dyDescent="0.25">
      <c r="A26" s="9" t="s">
        <v>11</v>
      </c>
      <c r="B26" s="19" t="s">
        <v>30</v>
      </c>
      <c r="C26" s="11">
        <v>2</v>
      </c>
      <c r="D26" s="12"/>
      <c r="E26" s="17">
        <v>220000</v>
      </c>
      <c r="F26" s="14"/>
    </row>
    <row r="27" spans="1:6" ht="15.75" x14ac:dyDescent="0.25">
      <c r="A27" s="9" t="s">
        <v>12</v>
      </c>
      <c r="B27" s="16" t="s">
        <v>20</v>
      </c>
      <c r="C27" s="11">
        <v>2</v>
      </c>
      <c r="D27" s="12">
        <v>48000</v>
      </c>
      <c r="E27" s="17">
        <v>100000</v>
      </c>
      <c r="F27" s="14"/>
    </row>
    <row r="28" spans="1:6" ht="15.75" x14ac:dyDescent="0.25">
      <c r="A28" s="9" t="s">
        <v>21</v>
      </c>
      <c r="B28" s="16" t="s">
        <v>22</v>
      </c>
      <c r="C28" s="11">
        <v>13</v>
      </c>
      <c r="D28" s="12"/>
      <c r="E28" s="17">
        <v>1120000</v>
      </c>
      <c r="F28" s="14"/>
    </row>
    <row r="29" spans="1:6" ht="15.75" x14ac:dyDescent="0.25">
      <c r="A29" s="9" t="s">
        <v>24</v>
      </c>
      <c r="B29" s="16" t="s">
        <v>23</v>
      </c>
      <c r="C29" s="11">
        <v>1</v>
      </c>
      <c r="D29" s="12">
        <v>67500</v>
      </c>
      <c r="E29" s="17">
        <v>80000</v>
      </c>
      <c r="F29" s="14"/>
    </row>
    <row r="30" spans="1:6" ht="15.75" x14ac:dyDescent="0.25">
      <c r="A30" s="9" t="s">
        <v>27</v>
      </c>
      <c r="B30" s="16" t="s">
        <v>32</v>
      </c>
      <c r="C30" s="11">
        <v>1</v>
      </c>
      <c r="D30" s="12"/>
      <c r="E30" s="17">
        <v>125000</v>
      </c>
      <c r="F30" s="14"/>
    </row>
    <row r="31" spans="1:6" ht="15.75" x14ac:dyDescent="0.25">
      <c r="A31" s="9" t="s">
        <v>13</v>
      </c>
      <c r="B31" s="16" t="s">
        <v>26</v>
      </c>
      <c r="C31" s="11">
        <v>1</v>
      </c>
      <c r="D31" s="12">
        <v>0</v>
      </c>
      <c r="E31" s="20">
        <v>40000</v>
      </c>
      <c r="F31" s="14"/>
    </row>
    <row r="32" spans="1:6" ht="15.75" x14ac:dyDescent="0.25">
      <c r="A32" s="9" t="s">
        <v>33</v>
      </c>
      <c r="B32" s="9" t="s">
        <v>34</v>
      </c>
      <c r="C32" s="11">
        <v>1</v>
      </c>
      <c r="D32" s="21"/>
      <c r="E32" s="22">
        <v>60000</v>
      </c>
      <c r="F32" s="14"/>
    </row>
    <row r="33" spans="1:6" ht="15.75" x14ac:dyDescent="0.25">
      <c r="A33" s="9"/>
      <c r="B33" s="23"/>
      <c r="C33" s="24" t="s">
        <v>17</v>
      </c>
      <c r="D33" s="25"/>
      <c r="E33" s="8">
        <f>SUM(E22:E32)</f>
        <v>2180000</v>
      </c>
      <c r="F33" s="14"/>
    </row>
    <row r="34" spans="1:6" ht="15.75" x14ac:dyDescent="0.25">
      <c r="A34" s="9"/>
      <c r="B34" s="23"/>
      <c r="C34" s="30">
        <v>0.15</v>
      </c>
      <c r="D34" s="25"/>
      <c r="E34" s="26">
        <f>E33*15%</f>
        <v>327000</v>
      </c>
      <c r="F34" s="14"/>
    </row>
    <row r="35" spans="1:6" ht="15.75" x14ac:dyDescent="0.25">
      <c r="A35" s="9"/>
      <c r="B35" s="9"/>
      <c r="C35" s="24" t="s">
        <v>18</v>
      </c>
      <c r="D35" s="27"/>
      <c r="E35" s="8">
        <f>SUM(E33:E34)</f>
        <v>2507000</v>
      </c>
      <c r="F35" s="14"/>
    </row>
    <row r="36" spans="1:6" ht="15.75" x14ac:dyDescent="0.25">
      <c r="A36" s="9"/>
      <c r="B36" s="9"/>
      <c r="C36" s="28" t="s">
        <v>14</v>
      </c>
      <c r="D36" s="29"/>
      <c r="E36" s="7">
        <f>E35*18%</f>
        <v>451260</v>
      </c>
      <c r="F36" s="14"/>
    </row>
    <row r="37" spans="1:6" ht="15.75" x14ac:dyDescent="0.25">
      <c r="A37" s="9"/>
      <c r="B37" s="9"/>
      <c r="C37" s="28" t="s">
        <v>15</v>
      </c>
      <c r="D37" s="29"/>
      <c r="E37" s="7">
        <f>SUM(E35:E36)</f>
        <v>2958260</v>
      </c>
      <c r="F37" s="14"/>
    </row>
    <row r="40" spans="1:6" x14ac:dyDescent="0.25">
      <c r="A40" s="6" t="s">
        <v>3</v>
      </c>
      <c r="B40" s="6" t="s">
        <v>4</v>
      </c>
      <c r="C40" s="6" t="s">
        <v>5</v>
      </c>
      <c r="D40" s="6" t="s">
        <v>16</v>
      </c>
      <c r="E40" s="6" t="s">
        <v>6</v>
      </c>
      <c r="F40" s="6" t="s">
        <v>19</v>
      </c>
    </row>
    <row r="41" spans="1:6" ht="15.75" x14ac:dyDescent="0.25">
      <c r="A41" s="9" t="s">
        <v>7</v>
      </c>
      <c r="B41" s="10" t="s">
        <v>25</v>
      </c>
      <c r="C41" s="11">
        <v>1</v>
      </c>
      <c r="D41" s="12">
        <v>130000</v>
      </c>
      <c r="E41" s="13">
        <v>130000</v>
      </c>
      <c r="F41" s="14"/>
    </row>
    <row r="42" spans="1:6" ht="63" x14ac:dyDescent="0.25">
      <c r="A42" s="9" t="s">
        <v>8</v>
      </c>
      <c r="B42" s="15" t="s">
        <v>31</v>
      </c>
      <c r="C42" s="11">
        <v>1</v>
      </c>
      <c r="D42" s="12"/>
      <c r="E42" s="13"/>
      <c r="F42" s="14"/>
    </row>
    <row r="43" spans="1:6" ht="33.75" customHeight="1" x14ac:dyDescent="0.25">
      <c r="A43" s="9" t="s">
        <v>9</v>
      </c>
      <c r="B43" s="16" t="s">
        <v>35</v>
      </c>
      <c r="C43" s="11">
        <v>2</v>
      </c>
      <c r="D43" s="12"/>
      <c r="E43" s="17"/>
      <c r="F43" s="14"/>
    </row>
    <row r="44" spans="1:6" ht="15.75" x14ac:dyDescent="0.25">
      <c r="A44" s="9" t="s">
        <v>10</v>
      </c>
      <c r="B44" s="18" t="s">
        <v>29</v>
      </c>
      <c r="C44" s="11">
        <v>2</v>
      </c>
      <c r="D44" s="12">
        <v>7500</v>
      </c>
      <c r="E44" s="17">
        <v>15000</v>
      </c>
      <c r="F44" s="14"/>
    </row>
    <row r="45" spans="1:6" ht="15.75" x14ac:dyDescent="0.25">
      <c r="A45" s="9" t="s">
        <v>11</v>
      </c>
      <c r="B45" s="19" t="s">
        <v>30</v>
      </c>
      <c r="C45" s="11">
        <v>2</v>
      </c>
      <c r="D45" s="12"/>
      <c r="E45" s="17"/>
      <c r="F45" s="14"/>
    </row>
    <row r="46" spans="1:6" ht="15.75" x14ac:dyDescent="0.25">
      <c r="A46" s="9" t="s">
        <v>12</v>
      </c>
      <c r="B46" s="16" t="s">
        <v>20</v>
      </c>
      <c r="C46" s="11">
        <v>2</v>
      </c>
      <c r="D46" s="12">
        <v>48000</v>
      </c>
      <c r="E46" s="17">
        <v>100000</v>
      </c>
      <c r="F46" s="14"/>
    </row>
    <row r="47" spans="1:6" ht="15.75" x14ac:dyDescent="0.25">
      <c r="A47" s="9" t="s">
        <v>21</v>
      </c>
      <c r="B47" s="16" t="s">
        <v>22</v>
      </c>
      <c r="C47" s="11">
        <v>13</v>
      </c>
      <c r="D47" s="12"/>
      <c r="E47" s="17"/>
      <c r="F47" s="14"/>
    </row>
    <row r="48" spans="1:6" ht="15.75" x14ac:dyDescent="0.25">
      <c r="A48" s="9" t="s">
        <v>24</v>
      </c>
      <c r="B48" s="16" t="s">
        <v>23</v>
      </c>
      <c r="C48" s="11">
        <v>1</v>
      </c>
      <c r="D48" s="12">
        <v>67500</v>
      </c>
      <c r="E48" s="17">
        <v>80000</v>
      </c>
      <c r="F48" s="14"/>
    </row>
    <row r="49" spans="1:6" ht="15.75" x14ac:dyDescent="0.25">
      <c r="A49" s="9" t="s">
        <v>27</v>
      </c>
      <c r="B49" s="16" t="s">
        <v>32</v>
      </c>
      <c r="C49" s="11">
        <v>1</v>
      </c>
      <c r="D49" s="12"/>
      <c r="E49" s="17"/>
      <c r="F49" s="14"/>
    </row>
    <row r="50" spans="1:6" ht="15.75" x14ac:dyDescent="0.25">
      <c r="A50" s="9" t="s">
        <v>13</v>
      </c>
      <c r="B50" s="16" t="s">
        <v>26</v>
      </c>
      <c r="C50" s="11">
        <v>1</v>
      </c>
      <c r="D50" s="12">
        <v>0</v>
      </c>
      <c r="E50" s="20">
        <v>0</v>
      </c>
      <c r="F50" s="14"/>
    </row>
    <row r="51" spans="1:6" ht="15.75" x14ac:dyDescent="0.25">
      <c r="A51" s="9" t="s">
        <v>33</v>
      </c>
      <c r="B51" s="9" t="s">
        <v>34</v>
      </c>
      <c r="C51" s="11">
        <v>1</v>
      </c>
      <c r="D51" s="21"/>
      <c r="E51" s="22"/>
      <c r="F51" s="14"/>
    </row>
    <row r="52" spans="1:6" ht="15.75" x14ac:dyDescent="0.25">
      <c r="A52" s="9"/>
      <c r="B52" s="23"/>
      <c r="C52" s="24" t="s">
        <v>17</v>
      </c>
      <c r="D52" s="25"/>
      <c r="E52" s="8">
        <f>SUM(E41:E51)</f>
        <v>325000</v>
      </c>
      <c r="F52" s="14"/>
    </row>
    <row r="53" spans="1:6" ht="15.75" x14ac:dyDescent="0.25">
      <c r="A53" s="9"/>
      <c r="B53" s="23"/>
      <c r="C53" s="30">
        <v>0.15</v>
      </c>
      <c r="D53" s="25"/>
      <c r="E53" s="26">
        <f>E52*15%</f>
        <v>48750</v>
      </c>
      <c r="F53" s="14"/>
    </row>
    <row r="54" spans="1:6" ht="15.75" x14ac:dyDescent="0.25">
      <c r="A54" s="9"/>
      <c r="B54" s="9"/>
      <c r="C54" s="24" t="s">
        <v>18</v>
      </c>
      <c r="D54" s="27"/>
      <c r="E54" s="8">
        <f>SUM(E52:E53)</f>
        <v>373750</v>
      </c>
      <c r="F54" s="14"/>
    </row>
    <row r="55" spans="1:6" ht="15.75" x14ac:dyDescent="0.25">
      <c r="A55" s="9"/>
      <c r="B55" s="9"/>
      <c r="C55" s="28" t="s">
        <v>14</v>
      </c>
      <c r="D55" s="29"/>
      <c r="E55" s="7">
        <f>E54*18%</f>
        <v>67275</v>
      </c>
      <c r="F55" s="14"/>
    </row>
    <row r="56" spans="1:6" ht="15.75" x14ac:dyDescent="0.25">
      <c r="A56" s="9"/>
      <c r="B56" s="9"/>
      <c r="C56" s="28" t="s">
        <v>15</v>
      </c>
      <c r="D56" s="29"/>
      <c r="E56" s="7">
        <f>SUM(E52:E53)</f>
        <v>373750</v>
      </c>
      <c r="F56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2026-08-18T11:51:03Z</dcterms:modified>
</cp:coreProperties>
</file>