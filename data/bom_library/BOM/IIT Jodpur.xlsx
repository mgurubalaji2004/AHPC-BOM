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1" l="1"/>
  <c r="F59" i="1"/>
  <c r="F57" i="1"/>
  <c r="E32" i="1" l="1"/>
  <c r="E33" i="1" s="1"/>
  <c r="E14" i="1"/>
  <c r="E50" i="1"/>
  <c r="F50" i="1" s="1"/>
  <c r="E57" i="1" l="1"/>
  <c r="E25" i="1"/>
  <c r="F58" i="1" l="1"/>
  <c r="E58" i="1"/>
  <c r="E59" i="1" s="1"/>
  <c r="E51" i="1"/>
  <c r="E52" i="1" s="1"/>
  <c r="F51" i="1"/>
  <c r="E60" i="1" l="1"/>
  <c r="E61" i="1" s="1"/>
  <c r="E53" i="1"/>
  <c r="E54" i="1" s="1"/>
  <c r="F52" i="1"/>
  <c r="E34" i="1"/>
  <c r="F61" i="1" l="1"/>
  <c r="F53" i="1"/>
  <c r="F54" i="1" s="1"/>
  <c r="E35" i="1"/>
  <c r="E36" i="1" s="1"/>
  <c r="E8" i="1" l="1"/>
  <c r="E13" i="1" l="1"/>
  <c r="E15" i="1" l="1"/>
  <c r="E16" i="1" l="1"/>
  <c r="E17" i="1" s="1"/>
</calcChain>
</file>

<file path=xl/sharedStrings.xml><?xml version="1.0" encoding="utf-8"?>
<sst xmlns="http://schemas.openxmlformats.org/spreadsheetml/2006/main" count="97" uniqueCount="55">
  <si>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</si>
  <si>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</si>
  <si>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</si>
  <si>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</si>
  <si>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</si>
  <si>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</si>
  <si>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</si>
  <si>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</si>
  <si>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</si>
  <si>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</si>
  <si>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</si>
  <si>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</si>
  <si>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</si>
  <si>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</si>
  <si>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</si>
  <si>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</si>
  <si>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</si>
  <si>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</si>
  <si>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</si>
  <si>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</si>
  <si>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GPU</t>
  </si>
  <si>
    <t>HDD</t>
  </si>
  <si>
    <t>NVIDIA RTX PRO 6000 Blackwell Max-Q Workstation Edition - 96GB</t>
  </si>
  <si>
    <t>64GB DDR5 4800MHz</t>
  </si>
  <si>
    <t>AMD EPYC™ 9554 (64-Cores, Base Freq 3.1GHz, Max Freq 3.75GHz, Cache 256MB)</t>
  </si>
  <si>
    <t>J12</t>
  </si>
  <si>
    <t>1 x 1.92TB M.2 NVMe SSD</t>
  </si>
  <si>
    <t>1 x 4TB SATA HDD</t>
  </si>
  <si>
    <t xml:space="preserve">AMD SoC Chipset </t>
  </si>
  <si>
    <t>Chenbro SR113694</t>
  </si>
  <si>
    <t>NVIDIA RTX PRO 2000 Blackwell 16GB</t>
  </si>
  <si>
    <t>4TB SATA HDD</t>
  </si>
  <si>
    <t>Dynatron</t>
  </si>
  <si>
    <t>AMD EPYC™ 9124 (16-Cores, Base Freq 3.0GHz, Max Freq 3.7GHz, Cache 64MB)</t>
  </si>
  <si>
    <t>1.92TB NVMe M.2 SSD</t>
  </si>
  <si>
    <t>1200W RPS</t>
  </si>
  <si>
    <t xml:space="preserve">4U Rack Mountable chassis </t>
  </si>
  <si>
    <t>1600W RPS</t>
  </si>
  <si>
    <t>Monitor</t>
  </si>
  <si>
    <t xml:space="preserve">27" Inches Monitor </t>
  </si>
  <si>
    <t>Accessories</t>
  </si>
  <si>
    <t>Keyboard and mouse (wireless + USB)</t>
  </si>
  <si>
    <t xml:space="preserve">Tower Chassis </t>
  </si>
  <si>
    <t>16GB DDR5 5600MHz</t>
  </si>
  <si>
    <t>Intel Core Ultra 9 Processor 285 (24-Cores, Base Freq 2.5GHz, Max Freq 5.6GHz, Cache 36MB)</t>
  </si>
  <si>
    <t>32" or higher LED IPS monitor (1920x1080) with webcam and speaker</t>
  </si>
  <si>
    <t xml:space="preserve">Wired Keyboard and mouse </t>
  </si>
  <si>
    <t>Windows 11 Pro</t>
  </si>
  <si>
    <t>650W ATX PSU</t>
  </si>
  <si>
    <t>1TB NVMe M.2 SSD</t>
  </si>
  <si>
    <t>Liquid Cooler</t>
  </si>
  <si>
    <t>Linux Operating System</t>
  </si>
  <si>
    <t xml:space="preserve">B860 DS3H WIFI6E </t>
  </si>
  <si>
    <t>AMD SoC Chipset MZ33-AR1</t>
  </si>
  <si>
    <t>32GB DDR5 4800MHz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</si>
</sst>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topLeftCell="B39" zoomScale="79" zoomScaleNormal="100" workbookViewId="0">
      <selection activeCell="F61" sqref="F61"/>
    </sheetView>
  </sheetViews>
  <sheetFormatPr defaultRowHeight="15" x14ac:dyDescent="0.25"/>
  <cols>
    <col min="1" max="1" width="15.28515625" customWidth="1"/>
    <col min="2" max="2" width="49.28515625" customWidth="1"/>
    <col min="3" max="3" width="14.140625" customWidth="1"/>
    <col min="4" max="4" width="15.5703125" customWidth="1"/>
    <col min="5" max="5" width="16.7109375" customWidth="1"/>
    <col min="6" max="6" width="16.8554687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29</v>
      </c>
      <c r="C4" s="11">
        <v>1</v>
      </c>
      <c r="D4" s="12">
        <v>65000</v>
      </c>
      <c r="E4" s="13">
        <v>70000</v>
      </c>
      <c r="F4" s="14"/>
    </row>
    <row r="5" spans="1:6" ht="15.75" x14ac:dyDescent="0.25">
      <c r="A5" s="9" t="s">
        <v>8</v>
      </c>
      <c r="B5" s="15" t="s">
        <v>28</v>
      </c>
      <c r="C5" s="11">
        <v>1</v>
      </c>
      <c r="D5" s="12">
        <v>110000</v>
      </c>
      <c r="E5" s="13">
        <v>110000</v>
      </c>
      <c r="F5" s="14"/>
    </row>
    <row r="6" spans="1:6" ht="31.5" x14ac:dyDescent="0.25">
      <c r="A6" s="9" t="s">
        <v>9</v>
      </c>
      <c r="B6" s="16" t="s">
        <v>24</v>
      </c>
      <c r="C6" s="11">
        <v>1</v>
      </c>
      <c r="D6" s="12">
        <v>190000</v>
      </c>
      <c r="E6" s="17">
        <v>190000</v>
      </c>
      <c r="F6" s="14"/>
    </row>
    <row r="7" spans="1:6" ht="15.75" x14ac:dyDescent="0.25">
      <c r="A7" s="9" t="s">
        <v>10</v>
      </c>
      <c r="B7" s="18" t="s">
        <v>25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23</v>
      </c>
      <c r="C8" s="11">
        <v>2</v>
      </c>
      <c r="D8" s="12">
        <v>225000</v>
      </c>
      <c r="E8" s="17">
        <f>D8*2</f>
        <v>450000</v>
      </c>
      <c r="F8" s="14"/>
    </row>
    <row r="9" spans="1:6" ht="15.75" x14ac:dyDescent="0.25">
      <c r="A9" s="9" t="s">
        <v>12</v>
      </c>
      <c r="B9" s="16" t="s">
        <v>26</v>
      </c>
      <c r="C9" s="11">
        <v>1</v>
      </c>
      <c r="D9" s="12">
        <v>87500</v>
      </c>
      <c r="E9" s="17">
        <v>88000</v>
      </c>
      <c r="F9" s="14"/>
    </row>
    <row r="10" spans="1:6" ht="15.75" x14ac:dyDescent="0.25">
      <c r="A10" s="9" t="s">
        <v>21</v>
      </c>
      <c r="B10" s="16" t="s">
        <v>27</v>
      </c>
      <c r="C10" s="11">
        <v>1</v>
      </c>
      <c r="D10" s="12">
        <v>22000</v>
      </c>
      <c r="E10" s="17">
        <v>22000</v>
      </c>
      <c r="F10" s="14"/>
    </row>
    <row r="11" spans="1:6" ht="31.5" x14ac:dyDescent="0.25">
      <c r="A11" s="9" t="s">
        <v>20</v>
      </c>
      <c r="B11" s="16" t="s">
        <v>22</v>
      </c>
      <c r="C11" s="11">
        <v>1</v>
      </c>
      <c r="D11" s="12">
        <v>1850000</v>
      </c>
      <c r="E11" s="17">
        <v>1850000</v>
      </c>
      <c r="F11" s="14"/>
    </row>
    <row r="12" spans="1:6" ht="15.75" x14ac:dyDescent="0.25">
      <c r="A12" s="9" t="s">
        <v>13</v>
      </c>
      <c r="B12" s="16" t="s">
        <v>37</v>
      </c>
      <c r="C12" s="11">
        <v>1</v>
      </c>
      <c r="D12" s="12">
        <v>45000</v>
      </c>
      <c r="E12" s="20">
        <v>45000</v>
      </c>
      <c r="F12" s="14"/>
    </row>
    <row r="13" spans="1:6" ht="16.149999999999999" customHeight="1" x14ac:dyDescent="0.25">
      <c r="A13" s="9"/>
      <c r="B13" s="21"/>
      <c r="C13" s="22" t="s">
        <v>17</v>
      </c>
      <c r="D13" s="23"/>
      <c r="E13" s="8">
        <f>SUM(E4:E12)</f>
        <v>2832500</v>
      </c>
      <c r="F13" s="8"/>
    </row>
    <row r="14" spans="1:6" ht="16.149999999999999" customHeight="1" x14ac:dyDescent="0.25">
      <c r="A14" s="9"/>
      <c r="B14" s="21"/>
      <c r="C14" s="27">
        <v>0.15</v>
      </c>
      <c r="D14" s="23"/>
      <c r="E14" s="8">
        <f>E13*30%</f>
        <v>849750</v>
      </c>
      <c r="F14" s="8"/>
    </row>
    <row r="15" spans="1:6" ht="18" customHeight="1" x14ac:dyDescent="0.25">
      <c r="A15" s="9"/>
      <c r="B15" s="9"/>
      <c r="C15" s="22" t="s">
        <v>18</v>
      </c>
      <c r="D15" s="24"/>
      <c r="E15" s="8">
        <f>SUM(E13:E14)</f>
        <v>3682250</v>
      </c>
      <c r="F15" s="8"/>
    </row>
    <row r="16" spans="1:6" ht="15.75" x14ac:dyDescent="0.25">
      <c r="A16" s="9"/>
      <c r="B16" s="9"/>
      <c r="C16" s="25" t="s">
        <v>14</v>
      </c>
      <c r="D16" s="26"/>
      <c r="E16" s="7">
        <f>E15*18%</f>
        <v>662805</v>
      </c>
      <c r="F16" s="7"/>
    </row>
    <row r="17" spans="1:6" ht="15.75" x14ac:dyDescent="0.25">
      <c r="A17" s="9"/>
      <c r="B17" s="9"/>
      <c r="C17" s="25" t="s">
        <v>15</v>
      </c>
      <c r="D17" s="26"/>
      <c r="E17" s="7">
        <f>SUM(E15:E16)</f>
        <v>4345055</v>
      </c>
      <c r="F17" s="8"/>
    </row>
    <row r="20" spans="1:6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19</v>
      </c>
    </row>
    <row r="21" spans="1:6" ht="15.75" x14ac:dyDescent="0.25">
      <c r="A21" s="9" t="s">
        <v>7</v>
      </c>
      <c r="B21" s="10" t="s">
        <v>36</v>
      </c>
      <c r="C21" s="11">
        <v>1</v>
      </c>
      <c r="D21" s="12">
        <v>65000</v>
      </c>
      <c r="E21" s="13">
        <v>65000</v>
      </c>
      <c r="F21" s="14"/>
    </row>
    <row r="22" spans="1:6" ht="15.75" x14ac:dyDescent="0.25">
      <c r="A22" s="9" t="s">
        <v>8</v>
      </c>
      <c r="B22" s="15" t="s">
        <v>53</v>
      </c>
      <c r="C22" s="11">
        <v>1</v>
      </c>
      <c r="D22" s="12">
        <v>72500</v>
      </c>
      <c r="E22" s="13">
        <v>72500</v>
      </c>
      <c r="F22" s="14"/>
    </row>
    <row r="23" spans="1:6" ht="31.5" x14ac:dyDescent="0.25">
      <c r="A23" s="9" t="s">
        <v>9</v>
      </c>
      <c r="B23" s="16" t="s">
        <v>33</v>
      </c>
      <c r="C23" s="11">
        <v>1</v>
      </c>
      <c r="D23" s="12">
        <v>63000</v>
      </c>
      <c r="E23" s="17">
        <v>63000</v>
      </c>
      <c r="F23" s="14"/>
    </row>
    <row r="24" spans="1:6" ht="15.75" x14ac:dyDescent="0.25">
      <c r="A24" s="9" t="s">
        <v>10</v>
      </c>
      <c r="B24" s="18" t="s">
        <v>32</v>
      </c>
      <c r="C24" s="11">
        <v>1</v>
      </c>
      <c r="D24" s="12">
        <v>7500</v>
      </c>
      <c r="E24" s="17">
        <v>7500</v>
      </c>
      <c r="F24" s="14"/>
    </row>
    <row r="25" spans="1:6" ht="15.75" x14ac:dyDescent="0.25">
      <c r="A25" s="9" t="s">
        <v>11</v>
      </c>
      <c r="B25" s="19" t="s">
        <v>54</v>
      </c>
      <c r="C25" s="11">
        <v>2</v>
      </c>
      <c r="D25" s="12">
        <v>100000</v>
      </c>
      <c r="E25" s="17">
        <f>D25*2</f>
        <v>200000</v>
      </c>
      <c r="F25" s="14"/>
    </row>
    <row r="26" spans="1:6" ht="15.75" x14ac:dyDescent="0.25">
      <c r="A26" s="9" t="s">
        <v>12</v>
      </c>
      <c r="B26" s="16" t="s">
        <v>34</v>
      </c>
      <c r="C26" s="11">
        <v>1</v>
      </c>
      <c r="D26" s="12">
        <v>87500</v>
      </c>
      <c r="E26" s="17">
        <v>88000</v>
      </c>
      <c r="F26" s="14"/>
    </row>
    <row r="27" spans="1:6" ht="15.75" x14ac:dyDescent="0.25">
      <c r="A27" s="9" t="s">
        <v>21</v>
      </c>
      <c r="B27" s="16" t="s">
        <v>31</v>
      </c>
      <c r="C27" s="11">
        <v>1</v>
      </c>
      <c r="D27" s="12">
        <v>23000</v>
      </c>
      <c r="E27" s="17">
        <v>23000</v>
      </c>
      <c r="F27" s="14"/>
    </row>
    <row r="28" spans="1:6" ht="15.75" x14ac:dyDescent="0.25">
      <c r="A28" s="9" t="s">
        <v>20</v>
      </c>
      <c r="B28" s="16" t="s">
        <v>30</v>
      </c>
      <c r="C28" s="11">
        <v>1</v>
      </c>
      <c r="D28" s="12">
        <v>140000</v>
      </c>
      <c r="E28" s="17">
        <v>140000</v>
      </c>
      <c r="F28" s="14"/>
    </row>
    <row r="29" spans="1:6" ht="15.75" x14ac:dyDescent="0.25">
      <c r="A29" s="9" t="s">
        <v>13</v>
      </c>
      <c r="B29" s="16" t="s">
        <v>35</v>
      </c>
      <c r="C29" s="11">
        <v>1</v>
      </c>
      <c r="D29" s="12">
        <v>35000</v>
      </c>
      <c r="E29" s="20">
        <v>35000</v>
      </c>
      <c r="F29" s="14"/>
    </row>
    <row r="30" spans="1:6" ht="15.75" x14ac:dyDescent="0.25">
      <c r="A30" s="9" t="s">
        <v>38</v>
      </c>
      <c r="B30" s="16" t="s">
        <v>39</v>
      </c>
      <c r="C30" s="11">
        <v>1</v>
      </c>
      <c r="D30" s="12">
        <v>8800</v>
      </c>
      <c r="E30" s="20">
        <v>9000</v>
      </c>
      <c r="F30" s="14"/>
    </row>
    <row r="31" spans="1:6" ht="15.75" x14ac:dyDescent="0.25">
      <c r="A31" s="9" t="s">
        <v>40</v>
      </c>
      <c r="B31" s="16" t="s">
        <v>41</v>
      </c>
      <c r="C31" s="11">
        <v>1</v>
      </c>
      <c r="D31" s="12">
        <v>1050</v>
      </c>
      <c r="E31" s="20">
        <v>1050</v>
      </c>
      <c r="F31" s="14"/>
    </row>
    <row r="32" spans="1:6" ht="15.75" x14ac:dyDescent="0.25">
      <c r="A32" s="9"/>
      <c r="B32" s="21"/>
      <c r="C32" s="22" t="s">
        <v>17</v>
      </c>
      <c r="D32" s="23"/>
      <c r="E32" s="8">
        <f>SUM(E21:E31)</f>
        <v>704050</v>
      </c>
      <c r="F32" s="8"/>
    </row>
    <row r="33" spans="1:6" ht="15.75" x14ac:dyDescent="0.25">
      <c r="A33" s="9"/>
      <c r="B33" s="21"/>
      <c r="C33" s="27">
        <v>0.15</v>
      </c>
      <c r="D33" s="23"/>
      <c r="E33" s="8">
        <f>E32*30%</f>
        <v>211215</v>
      </c>
      <c r="F33" s="8"/>
    </row>
    <row r="34" spans="1:6" ht="15.75" x14ac:dyDescent="0.25">
      <c r="A34" s="9"/>
      <c r="B34" s="9"/>
      <c r="C34" s="22" t="s">
        <v>18</v>
      </c>
      <c r="D34" s="24"/>
      <c r="E34" s="8">
        <f>SUM(E32:E33)</f>
        <v>915265</v>
      </c>
      <c r="F34" s="8"/>
    </row>
    <row r="35" spans="1:6" ht="15.75" x14ac:dyDescent="0.25">
      <c r="A35" s="9"/>
      <c r="B35" s="9"/>
      <c r="C35" s="25" t="s">
        <v>14</v>
      </c>
      <c r="D35" s="26"/>
      <c r="E35" s="7">
        <f>E34*18%</f>
        <v>164747.69999999998</v>
      </c>
      <c r="F35" s="7"/>
    </row>
    <row r="36" spans="1:6" ht="15.75" x14ac:dyDescent="0.25">
      <c r="A36" s="9"/>
      <c r="B36" s="9"/>
      <c r="C36" s="25" t="s">
        <v>15</v>
      </c>
      <c r="D36" s="26"/>
      <c r="E36" s="7">
        <f>SUM(E34:E35)</f>
        <v>1080012.7</v>
      </c>
      <c r="F36" s="8"/>
    </row>
    <row r="39" spans="1:6" x14ac:dyDescent="0.25">
      <c r="A39" s="6" t="s">
        <v>3</v>
      </c>
      <c r="B39" s="6" t="s">
        <v>4</v>
      </c>
      <c r="C39" s="6" t="s">
        <v>5</v>
      </c>
      <c r="D39" s="6" t="s">
        <v>16</v>
      </c>
      <c r="E39" s="6" t="s">
        <v>6</v>
      </c>
      <c r="F39" s="6" t="s">
        <v>19</v>
      </c>
    </row>
    <row r="40" spans="1:6" ht="15.75" x14ac:dyDescent="0.25">
      <c r="A40" s="9" t="s">
        <v>7</v>
      </c>
      <c r="B40" s="10" t="s">
        <v>42</v>
      </c>
      <c r="C40" s="11">
        <v>1</v>
      </c>
      <c r="D40" s="12">
        <v>5500</v>
      </c>
      <c r="E40" s="13">
        <v>5500</v>
      </c>
      <c r="F40" s="14"/>
    </row>
    <row r="41" spans="1:6" ht="15.75" x14ac:dyDescent="0.25">
      <c r="A41" s="9" t="s">
        <v>8</v>
      </c>
      <c r="B41" s="15" t="s">
        <v>52</v>
      </c>
      <c r="C41" s="11">
        <v>1</v>
      </c>
      <c r="D41" s="12">
        <v>14000</v>
      </c>
      <c r="E41" s="13">
        <v>14000</v>
      </c>
      <c r="F41" s="14"/>
    </row>
    <row r="42" spans="1:6" ht="31.5" x14ac:dyDescent="0.25">
      <c r="A42" s="9" t="s">
        <v>9</v>
      </c>
      <c r="B42" s="16" t="s">
        <v>44</v>
      </c>
      <c r="C42" s="11">
        <v>1</v>
      </c>
      <c r="D42" s="12">
        <v>50000</v>
      </c>
      <c r="E42" s="17">
        <v>50000</v>
      </c>
      <c r="F42" s="14"/>
    </row>
    <row r="43" spans="1:6" ht="15.75" x14ac:dyDescent="0.25">
      <c r="A43" s="9" t="s">
        <v>10</v>
      </c>
      <c r="B43" s="18" t="s">
        <v>50</v>
      </c>
      <c r="C43" s="11">
        <v>1</v>
      </c>
      <c r="D43" s="12">
        <v>6800</v>
      </c>
      <c r="E43" s="17">
        <v>7000</v>
      </c>
      <c r="F43" s="14"/>
    </row>
    <row r="44" spans="1:6" ht="15.75" x14ac:dyDescent="0.25">
      <c r="A44" s="9" t="s">
        <v>11</v>
      </c>
      <c r="B44" s="19" t="s">
        <v>43</v>
      </c>
      <c r="C44" s="11">
        <v>2</v>
      </c>
      <c r="D44" s="12">
        <v>22000</v>
      </c>
      <c r="E44" s="17">
        <v>45000</v>
      </c>
      <c r="F44" s="14"/>
    </row>
    <row r="45" spans="1:6" ht="15.75" x14ac:dyDescent="0.25">
      <c r="A45" s="9" t="s">
        <v>12</v>
      </c>
      <c r="B45" s="16" t="s">
        <v>49</v>
      </c>
      <c r="C45" s="11">
        <v>1</v>
      </c>
      <c r="D45" s="12">
        <v>14800</v>
      </c>
      <c r="E45" s="17">
        <v>15000</v>
      </c>
      <c r="F45" s="14"/>
    </row>
    <row r="46" spans="1:6" ht="15.75" x14ac:dyDescent="0.25">
      <c r="A46" s="9" t="s">
        <v>13</v>
      </c>
      <c r="B46" s="16" t="s">
        <v>48</v>
      </c>
      <c r="C46" s="11">
        <v>1</v>
      </c>
      <c r="D46" s="12">
        <v>4000</v>
      </c>
      <c r="E46" s="20">
        <v>4500</v>
      </c>
      <c r="F46" s="14"/>
    </row>
    <row r="47" spans="1:6" ht="31.5" x14ac:dyDescent="0.25">
      <c r="A47" s="9" t="s">
        <v>38</v>
      </c>
      <c r="B47" s="16" t="s">
        <v>45</v>
      </c>
      <c r="C47" s="11">
        <v>1</v>
      </c>
      <c r="D47" s="12">
        <v>44800</v>
      </c>
      <c r="E47" s="20">
        <v>36900</v>
      </c>
      <c r="F47" s="14"/>
    </row>
    <row r="48" spans="1:6" ht="15.75" x14ac:dyDescent="0.25">
      <c r="A48" s="9" t="s">
        <v>40</v>
      </c>
      <c r="B48" s="16" t="s">
        <v>46</v>
      </c>
      <c r="C48" s="11">
        <v>1</v>
      </c>
      <c r="D48" s="12">
        <v>800</v>
      </c>
      <c r="E48" s="20">
        <v>800</v>
      </c>
      <c r="F48" s="14"/>
    </row>
    <row r="49" spans="1:6" ht="15.75" x14ac:dyDescent="0.25">
      <c r="A49" s="9"/>
      <c r="B49" s="16" t="s">
        <v>47</v>
      </c>
      <c r="C49" s="11">
        <v>1</v>
      </c>
      <c r="D49" s="12">
        <v>8500</v>
      </c>
      <c r="E49" s="20">
        <v>8500</v>
      </c>
      <c r="F49" s="14"/>
    </row>
    <row r="50" spans="1:6" ht="15.75" x14ac:dyDescent="0.25">
      <c r="A50" s="9"/>
      <c r="B50" s="21"/>
      <c r="C50" s="22" t="s">
        <v>17</v>
      </c>
      <c r="D50" s="23"/>
      <c r="E50" s="8">
        <f>SUM(E40:E49)</f>
        <v>187200</v>
      </c>
      <c r="F50" s="8">
        <f>E50*3</f>
        <v>561600</v>
      </c>
    </row>
    <row r="51" spans="1:6" ht="15.75" x14ac:dyDescent="0.25">
      <c r="A51" s="9"/>
      <c r="B51" s="21"/>
      <c r="C51" s="27">
        <v>0.15</v>
      </c>
      <c r="D51" s="23"/>
      <c r="E51" s="8">
        <f>E50*15%</f>
        <v>28080</v>
      </c>
      <c r="F51" s="8">
        <f>F50*15%</f>
        <v>84240</v>
      </c>
    </row>
    <row r="52" spans="1:6" ht="15.75" x14ac:dyDescent="0.25">
      <c r="A52" s="9"/>
      <c r="B52" s="9"/>
      <c r="C52" s="22" t="s">
        <v>18</v>
      </c>
      <c r="D52" s="24"/>
      <c r="E52" s="8">
        <f>SUM(E50:E51)</f>
        <v>215280</v>
      </c>
      <c r="F52" s="8">
        <f>E52*3</f>
        <v>645840</v>
      </c>
    </row>
    <row r="53" spans="1:6" ht="15.75" x14ac:dyDescent="0.25">
      <c r="A53" s="9"/>
      <c r="B53" s="9"/>
      <c r="C53" s="25" t="s">
        <v>14</v>
      </c>
      <c r="D53" s="26"/>
      <c r="E53" s="7">
        <f>E52*18%</f>
        <v>38750.400000000001</v>
      </c>
      <c r="F53" s="7">
        <f>F52*18%</f>
        <v>116251.2</v>
      </c>
    </row>
    <row r="54" spans="1:6" ht="15.75" x14ac:dyDescent="0.25">
      <c r="A54" s="9"/>
      <c r="B54" s="9"/>
      <c r="C54" s="25" t="s">
        <v>15</v>
      </c>
      <c r="D54" s="26"/>
      <c r="E54" s="7">
        <f>SUM(E52:E53)</f>
        <v>254030.4</v>
      </c>
      <c r="F54" s="8">
        <f>SUM(F52:F53)</f>
        <v>762091.2</v>
      </c>
    </row>
    <row r="57" spans="1:6" ht="15.75" x14ac:dyDescent="0.25">
      <c r="B57" s="30" t="s">
        <v>51</v>
      </c>
      <c r="C57" s="22" t="s">
        <v>17</v>
      </c>
      <c r="D57" s="23"/>
      <c r="E57" s="8">
        <f>SUM(E40:E48)</f>
        <v>178700</v>
      </c>
      <c r="F57" s="8">
        <f>E57*2</f>
        <v>357400</v>
      </c>
    </row>
    <row r="58" spans="1:6" ht="15.75" x14ac:dyDescent="0.25">
      <c r="C58" s="27">
        <v>0.15</v>
      </c>
      <c r="D58" s="23"/>
      <c r="E58" s="8">
        <f>E57*15%</f>
        <v>26805</v>
      </c>
      <c r="F58" s="8">
        <f>F57*15%</f>
        <v>53610</v>
      </c>
    </row>
    <row r="59" spans="1:6" ht="15.75" x14ac:dyDescent="0.25">
      <c r="C59" s="22" t="s">
        <v>18</v>
      </c>
      <c r="D59" s="24"/>
      <c r="E59" s="8">
        <f>SUM(E57:E58)</f>
        <v>205505</v>
      </c>
      <c r="F59" s="8">
        <f>E59*2</f>
        <v>411010</v>
      </c>
    </row>
    <row r="60" spans="1:6" ht="15.75" x14ac:dyDescent="0.25">
      <c r="C60" s="25" t="s">
        <v>14</v>
      </c>
      <c r="D60" s="26"/>
      <c r="E60" s="7">
        <f>E59*18%</f>
        <v>36990.9</v>
      </c>
      <c r="F60" s="7">
        <f>F59*18%</f>
        <v>73981.8</v>
      </c>
    </row>
    <row r="61" spans="1:6" ht="15.75" x14ac:dyDescent="0.25">
      <c r="C61" s="25" t="s">
        <v>15</v>
      </c>
      <c r="D61" s="26"/>
      <c r="E61" s="7">
        <f>SUM(E59:E60)</f>
        <v>242495.9</v>
      </c>
      <c r="F61" s="8">
        <f>SUM(F59:F60)</f>
        <v>484991.8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2026-10-02T14:03:07Z</dcterms:modified>
</cp:coreProperties>
</file>